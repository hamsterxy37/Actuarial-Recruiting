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hidePivotFieldList="1"/>
  <mc:AlternateContent xmlns:mc="http://schemas.openxmlformats.org/markup-compatibility/2006">
    <mc:Choice Requires="x15">
      <x15ac:absPath xmlns:x15ac="http://schemas.microsoft.com/office/spreadsheetml/2010/11/ac" url="/Users/richardli/Downloads/"/>
    </mc:Choice>
  </mc:AlternateContent>
  <xr:revisionPtr revIDLastSave="0" documentId="13_ncr:1_{7E382620-1217-404B-8B96-BACA2FCA2378}" xr6:coauthVersionLast="47" xr6:coauthVersionMax="47" xr10:uidLastSave="{00000000-0000-0000-0000-000000000000}"/>
  <bookViews>
    <workbookView xWindow="0" yWindow="0" windowWidth="38400" windowHeight="21600" activeTab="8" xr2:uid="{40A8671D-D456-4EA9-B98F-F069B60ECCEB}"/>
  </bookViews>
  <sheets>
    <sheet name="Overview" sheetId="1" r:id="rId1"/>
    <sheet name="Basic Excel Review" sheetId="2" r:id="rId2"/>
    <sheet name="Data Validation" sheetId="3" r:id="rId3"/>
    <sheet name="Text Functions" sheetId="4" r:id="rId4"/>
    <sheet name="Goal Seek" sheetId="5" r:id="rId5"/>
    <sheet name="Solver" sheetId="7" r:id="rId6"/>
    <sheet name="Data" sheetId="9" r:id="rId7"/>
    <sheet name="PivotTable" sheetId="11" r:id="rId8"/>
    <sheet name="Data Visualization" sheetId="13" r:id="rId9"/>
  </sheets>
  <definedNames>
    <definedName name="Auto">'Data Validation'!$C$61:$C$64</definedName>
    <definedName name="Home">'Data Validation'!$D$61:$D$64</definedName>
    <definedName name="LOBs">'Data Validation'!$B$61:$B$62</definedName>
    <definedName name="solver_adj" localSheetId="5" hidden="1">Solver!$C$41:$C$42</definedName>
    <definedName name="solver_adj1" localSheetId="5" hidden="1">Solver!$C$15</definedName>
    <definedName name="solver_cvg" localSheetId="5" hidden="1">0.0001</definedName>
    <definedName name="solver_drv" localSheetId="5" hidden="1">2</definedName>
    <definedName name="solver_eng" localSheetId="8" hidden="1">1</definedName>
    <definedName name="solver_eng" localSheetId="4" hidden="1">1</definedName>
    <definedName name="solver_eng" localSheetId="7" hidden="1">1</definedName>
    <definedName name="solver_eng" localSheetId="5" hidden="1">1</definedName>
    <definedName name="solver_itr" localSheetId="5" hidden="1">2147483647</definedName>
    <definedName name="solver_lhs1" localSheetId="5" hidden="1">Solver!$C$41</definedName>
    <definedName name="solver_lhs2" localSheetId="5" hidden="1">Solver!$C$42</definedName>
    <definedName name="solver_lhs3" localSheetId="5" hidden="1">Solver!$C$42</definedName>
    <definedName name="solver_lin" localSheetId="5" hidden="1">2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8" hidden="1">1</definedName>
    <definedName name="solver_neg" localSheetId="4" hidden="1">1</definedName>
    <definedName name="solver_neg" localSheetId="7" hidden="1">1</definedName>
    <definedName name="solver_neg" localSheetId="5" hidden="1">2</definedName>
    <definedName name="solver_nod" localSheetId="5" hidden="1">2147483647</definedName>
    <definedName name="solver_num" localSheetId="8" hidden="1">0</definedName>
    <definedName name="solver_num" localSheetId="4" hidden="1">0</definedName>
    <definedName name="solver_num" localSheetId="7" hidden="1">0</definedName>
    <definedName name="solver_num" localSheetId="5" hidden="1">3</definedName>
    <definedName name="solver_opt" localSheetId="8" hidden="1">'Data Visualization'!$A$1</definedName>
    <definedName name="solver_opt" localSheetId="4" hidden="1">'Goal Seek'!$A$1</definedName>
    <definedName name="solver_opt" localSheetId="7" hidden="1">PivotTable!$A$1</definedName>
    <definedName name="solver_opt" localSheetId="5" hidden="1">Solver!$C$45</definedName>
    <definedName name="solver_pre" localSheetId="5" hidden="1">0.000001</definedName>
    <definedName name="solver_rbv" localSheetId="5" hidden="1">2</definedName>
    <definedName name="solver_rel1" localSheetId="5" hidden="1">1</definedName>
    <definedName name="solver_rel2" localSheetId="5" hidden="1">1</definedName>
    <definedName name="solver_rel3" localSheetId="5" hidden="1">3</definedName>
    <definedName name="solver_rhs1" localSheetId="5" hidden="1">2000</definedName>
    <definedName name="solver_rhs2" localSheetId="5" hidden="1">60</definedName>
    <definedName name="solver_rhs3" localSheetId="5" hidden="1">40</definedName>
    <definedName name="solver_rlx" localSheetId="5" hidden="1">2</definedName>
    <definedName name="solver_rsd" localSheetId="5" hidden="1">0</definedName>
    <definedName name="solver_rxc1" localSheetId="5" hidden="1">1</definedName>
    <definedName name="solver_rxc2" localSheetId="5" hidden="1">1</definedName>
    <definedName name="solver_rxc3" localSheetId="5" hidden="1">1</definedName>
    <definedName name="solver_rxv" localSheetId="5" hidden="1">1</definedName>
    <definedName name="solver_rxv1" localSheetId="5" hidden="1">1</definedName>
    <definedName name="solver_rxv2" localSheetId="5" hidden="1">1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8" hidden="1">1</definedName>
    <definedName name="solver_typ" localSheetId="4" hidden="1">1</definedName>
    <definedName name="solver_typ" localSheetId="7" hidden="1">1</definedName>
    <definedName name="solver_typ" localSheetId="5" hidden="1">3</definedName>
    <definedName name="solver_val" localSheetId="8" hidden="1">0</definedName>
    <definedName name="solver_val" localSheetId="4" hidden="1">0</definedName>
    <definedName name="solver_val" localSheetId="7" hidden="1">0</definedName>
    <definedName name="solver_val" localSheetId="5" hidden="1">10000</definedName>
    <definedName name="solver_ver" localSheetId="8" hidden="1">3</definedName>
    <definedName name="solver_ver" localSheetId="4" hidden="1">3</definedName>
    <definedName name="solver_ver" localSheetId="7" hidden="1">3</definedName>
    <definedName name="solver_ver" localSheetId="5" hidden="1">2</definedName>
  </definedNames>
  <calcPr calcId="191029"/>
  <pivotCaches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9" l="1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C45" i="7"/>
  <c r="G44" i="5"/>
  <c r="L64" i="4"/>
  <c r="L65" i="4"/>
  <c r="L66" i="4"/>
  <c r="L67" i="4"/>
  <c r="L68" i="4"/>
  <c r="L69" i="4"/>
  <c r="L70" i="4"/>
  <c r="L71" i="4"/>
  <c r="L72" i="4"/>
  <c r="L63" i="4"/>
  <c r="F72" i="4"/>
  <c r="F64" i="4"/>
  <c r="F65" i="4"/>
  <c r="F66" i="4"/>
  <c r="F67" i="4"/>
  <c r="F68" i="4"/>
  <c r="F69" i="4"/>
  <c r="F70" i="4"/>
  <c r="F71" i="4"/>
  <c r="F63" i="4"/>
  <c r="B64" i="4"/>
  <c r="B65" i="4"/>
  <c r="B66" i="4"/>
  <c r="B67" i="4"/>
  <c r="B68" i="4"/>
  <c r="B69" i="4"/>
  <c r="B70" i="4"/>
  <c r="B71" i="4"/>
  <c r="B72" i="4"/>
  <c r="B63" i="4"/>
  <c r="C42" i="4"/>
  <c r="C41" i="4"/>
  <c r="C37" i="4"/>
  <c r="C36" i="4"/>
  <c r="G18" i="4"/>
  <c r="G19" i="4"/>
  <c r="G20" i="4"/>
  <c r="G21" i="4"/>
  <c r="G17" i="4"/>
  <c r="E18" i="4"/>
  <c r="E19" i="4"/>
  <c r="E20" i="4"/>
  <c r="E21" i="4"/>
  <c r="E17" i="4"/>
  <c r="C18" i="4"/>
  <c r="C19" i="4"/>
  <c r="C20" i="4"/>
  <c r="C21" i="4"/>
  <c r="C17" i="4"/>
  <c r="H63" i="2"/>
  <c r="H60" i="2"/>
  <c r="H57" i="2"/>
  <c r="H54" i="2"/>
  <c r="H52" i="2"/>
  <c r="H50" i="2"/>
  <c r="H47" i="2"/>
  <c r="H45" i="2"/>
  <c r="H43" i="2"/>
  <c r="C23" i="5"/>
  <c r="C18" i="7"/>
  <c r="C44" i="5"/>
  <c r="F26" i="2" l="1"/>
  <c r="F27" i="2"/>
  <c r="F25" i="2"/>
  <c r="F24" i="2"/>
  <c r="F23" i="2"/>
  <c r="F2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<sst xmlns="http://schemas.openxmlformats.org/spreadsheetml/2006/main" count="3988" uniqueCount="904">
  <si>
    <t>Overview</t>
  </si>
  <si>
    <t>Agenda</t>
  </si>
  <si>
    <t>BAS INTERMEDIATE EXCEL WORKBOOK</t>
  </si>
  <si>
    <t>How is Microsoft Excel used in the workforce?</t>
  </si>
  <si>
    <t>• Pricing/reserving models</t>
  </si>
  <si>
    <t>• Data visualization</t>
  </si>
  <si>
    <t>• Automating tasks (VBA)</t>
  </si>
  <si>
    <t>• Basic Excel Review</t>
  </si>
  <si>
    <t>Keyboard Shortcuts</t>
  </si>
  <si>
    <t>Shortcut</t>
  </si>
  <si>
    <t>Windows/PC</t>
  </si>
  <si>
    <t>Mac</t>
  </si>
  <si>
    <t>Jump to end of table</t>
  </si>
  <si>
    <t>Control + (Up/Down/Left/Right)</t>
  </si>
  <si>
    <t>Command + (Up/Down/Left/Right)</t>
  </si>
  <si>
    <t>Jump to end of table +
highlight entire region</t>
  </si>
  <si>
    <t>Control + Shift + (Up/Down/Left/Right)</t>
  </si>
  <si>
    <t>Command + Shift + (Up/Down/Left/Right)</t>
  </si>
  <si>
    <t>Display formula + highlight inputs</t>
  </si>
  <si>
    <t>F2</t>
  </si>
  <si>
    <t>Control + U</t>
  </si>
  <si>
    <t>Cycle through cell reference</t>
  </si>
  <si>
    <t>F4</t>
  </si>
  <si>
    <t>Command + T</t>
  </si>
  <si>
    <t>Example</t>
  </si>
  <si>
    <t>Cell Reference</t>
  </si>
  <si>
    <t>Relative</t>
  </si>
  <si>
    <t>Absolute</t>
  </si>
  <si>
    <t>Mixed</t>
  </si>
  <si>
    <t>Does not change when copied or filled</t>
  </si>
  <si>
    <t>Can precede the column reference or row reference</t>
  </si>
  <si>
    <t>Changes based on the relative row and column when copied/filled</t>
  </si>
  <si>
    <t>=A1*B1</t>
  </si>
  <si>
    <t>=$A$1*$A$2</t>
  </si>
  <si>
    <t>=A$1*$B1</t>
  </si>
  <si>
    <t>Logical Operators</t>
  </si>
  <si>
    <t>Operator</t>
  </si>
  <si>
    <t>=</t>
  </si>
  <si>
    <t>Equal to</t>
  </si>
  <si>
    <t>=F13=5</t>
  </si>
  <si>
    <t>&lt;&gt;</t>
  </si>
  <si>
    <t>Not equal to</t>
  </si>
  <si>
    <t>=F13&lt;&gt;5</t>
  </si>
  <si>
    <t>&gt;</t>
  </si>
  <si>
    <t>Greater than</t>
  </si>
  <si>
    <t>=F13&gt;4</t>
  </si>
  <si>
    <t>&lt;</t>
  </si>
  <si>
    <t>Less than</t>
  </si>
  <si>
    <t>=F13&lt;5</t>
  </si>
  <si>
    <t>&gt;=</t>
  </si>
  <si>
    <t>Greater than or equal to</t>
  </si>
  <si>
    <t>=F13&gt;=5</t>
  </si>
  <si>
    <t>&lt;=</t>
  </si>
  <si>
    <t>Less than or equal to</t>
  </si>
  <si>
    <t>=F13&lt;=4</t>
  </si>
  <si>
    <r>
      <rPr>
        <b/>
        <sz val="11"/>
        <color theme="1"/>
        <rFont val="Calibri"/>
        <family val="2"/>
      </rPr>
      <t>Microsoft Excel</t>
    </r>
    <r>
      <rPr>
        <sz val="11"/>
        <color theme="1"/>
        <rFont val="Calibri"/>
        <family val="2"/>
      </rPr>
      <t xml:space="preserve"> is leveraged by actuaries in their daily work through the following:</t>
    </r>
  </si>
  <si>
    <r>
      <t xml:space="preserve">Q. </t>
    </r>
    <r>
      <rPr>
        <sz val="11"/>
        <color theme="1"/>
        <rFont val="Calibri"/>
        <family val="2"/>
      </rPr>
      <t>What's the last cell of this sheet?</t>
    </r>
  </si>
  <si>
    <t>Result</t>
  </si>
  <si>
    <t>=A2</t>
  </si>
  <si>
    <t>=$A2</t>
  </si>
  <si>
    <t>=A$2</t>
  </si>
  <si>
    <t>=$A$2</t>
  </si>
  <si>
    <r>
      <t xml:space="preserve">Q. </t>
    </r>
    <r>
      <rPr>
        <sz val="11"/>
        <color theme="1"/>
        <rFont val="Calibri"/>
        <family val="2"/>
      </rPr>
      <t xml:space="preserve">Which of the following, when copied and pasted into any cell, will refer to the same row number? </t>
    </r>
  </si>
  <si>
    <t xml:space="preserve">Function </t>
  </si>
  <si>
    <t>Functions</t>
  </si>
  <si>
    <t>SUM</t>
  </si>
  <si>
    <t>ROUND</t>
  </si>
  <si>
    <t>IF</t>
  </si>
  <si>
    <t>SUMIF(S)</t>
  </si>
  <si>
    <t>COUNTIF(S)</t>
  </si>
  <si>
    <t>INDEX</t>
  </si>
  <si>
    <t>MATCH</t>
  </si>
  <si>
    <t>XLOOKUP</t>
  </si>
  <si>
    <t>Syntax</t>
  </si>
  <si>
    <r>
      <t>=IF(</t>
    </r>
    <r>
      <rPr>
        <sz val="11"/>
        <color rgb="FFFF0000"/>
        <rFont val="Calibri"/>
        <family val="2"/>
      </rPr>
      <t>logical_test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value_if_true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[value_if_false]</t>
    </r>
    <r>
      <rPr>
        <sz val="11"/>
        <color theme="1"/>
        <rFont val="Calibri"/>
        <family val="2"/>
      </rPr>
      <t>)</t>
    </r>
  </si>
  <si>
    <r>
      <t>=COUNTIF(</t>
    </r>
    <r>
      <rPr>
        <sz val="11"/>
        <color rgb="FFFF0000"/>
        <rFont val="Calibri"/>
        <family val="2"/>
      </rPr>
      <t>range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criterion</t>
    </r>
    <r>
      <rPr>
        <sz val="11"/>
        <color theme="1"/>
        <rFont val="Calibri"/>
        <family val="2"/>
      </rPr>
      <t>)</t>
    </r>
  </si>
  <si>
    <r>
      <t>=SUMIF(</t>
    </r>
    <r>
      <rPr>
        <sz val="11"/>
        <color rgb="FFFF0000"/>
        <rFont val="Calibri"/>
        <family val="2"/>
      </rPr>
      <t>range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criterion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[sum_range]</t>
    </r>
    <r>
      <rPr>
        <sz val="11"/>
        <color theme="1"/>
        <rFont val="Calibri"/>
        <family val="2"/>
      </rPr>
      <t>)</t>
    </r>
  </si>
  <si>
    <r>
      <t>=INDEX(</t>
    </r>
    <r>
      <rPr>
        <sz val="11"/>
        <color rgb="FFFF0000"/>
        <rFont val="Calibri"/>
        <family val="2"/>
      </rPr>
      <t>array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row_num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[column_num]</t>
    </r>
    <r>
      <rPr>
        <sz val="11"/>
        <color theme="1"/>
        <rFont val="Calibri"/>
        <family val="2"/>
      </rPr>
      <t>)</t>
    </r>
  </si>
  <si>
    <r>
      <t>=MATCH(</t>
    </r>
    <r>
      <rPr>
        <sz val="11"/>
        <color rgb="FFFF0000"/>
        <rFont val="Calibri"/>
        <family val="2"/>
      </rPr>
      <t>lookup_value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lookup_array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[match_type]</t>
    </r>
    <r>
      <rPr>
        <sz val="11"/>
        <color theme="1"/>
        <rFont val="Calibri"/>
        <family val="2"/>
      </rPr>
      <t>)</t>
    </r>
  </si>
  <si>
    <t>PolicyID</t>
  </si>
  <si>
    <t>VehicleYear</t>
  </si>
  <si>
    <t>DriverAge</t>
  </si>
  <si>
    <t>CoverageType</t>
  </si>
  <si>
    <t>AnnualPremium</t>
  </si>
  <si>
    <t>A10001</t>
  </si>
  <si>
    <t>Comprehensive</t>
  </si>
  <si>
    <t>A10002</t>
  </si>
  <si>
    <t>Liability</t>
  </si>
  <si>
    <t>A10003</t>
  </si>
  <si>
    <t>A10004</t>
  </si>
  <si>
    <t>Collision</t>
  </si>
  <si>
    <t>A10005</t>
  </si>
  <si>
    <t>A10006</t>
  </si>
  <si>
    <t>A10007</t>
  </si>
  <si>
    <t>A10008</t>
  </si>
  <si>
    <t>A10009</t>
  </si>
  <si>
    <t>A10010</t>
  </si>
  <si>
    <r>
      <t>=SUM(</t>
    </r>
    <r>
      <rPr>
        <sz val="11"/>
        <color rgb="FFFF0000"/>
        <rFont val="Calibri"/>
        <family val="2"/>
      </rPr>
      <t>N28:N37</t>
    </r>
    <r>
      <rPr>
        <sz val="11"/>
        <color theme="1"/>
        <rFont val="Calibri"/>
        <family val="2"/>
      </rPr>
      <t>)</t>
    </r>
  </si>
  <si>
    <r>
      <t>=SUM(</t>
    </r>
    <r>
      <rPr>
        <sz val="11"/>
        <color rgb="FFFF0000"/>
        <rFont val="Calibri"/>
        <family val="2"/>
      </rPr>
      <t>number1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[number2]</t>
    </r>
    <r>
      <rPr>
        <sz val="11"/>
        <color theme="1"/>
        <rFont val="Calibri"/>
        <family val="2"/>
      </rPr>
      <t>,</t>
    </r>
    <r>
      <rPr>
        <sz val="11"/>
        <color rgb="FF00B0F0"/>
        <rFont val="Calibri"/>
        <family val="2"/>
      </rPr>
      <t xml:space="preserve"> </t>
    </r>
    <r>
      <rPr>
        <sz val="11"/>
        <color rgb="FF0070C0"/>
        <rFont val="Calibri"/>
        <family val="2"/>
      </rPr>
      <t>[number3]</t>
    </r>
    <r>
      <rPr>
        <sz val="11"/>
        <color theme="1"/>
        <rFont val="Calibri"/>
        <family val="2"/>
      </rPr>
      <t>,…)</t>
    </r>
  </si>
  <si>
    <r>
      <t>=IF(</t>
    </r>
    <r>
      <rPr>
        <sz val="11"/>
        <color rgb="FFFF0000"/>
        <rFont val="Calibri"/>
        <family val="2"/>
      </rPr>
      <t>M28&gt;2019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"Newer"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"Older"</t>
    </r>
    <r>
      <rPr>
        <sz val="11"/>
        <color theme="1"/>
        <rFont val="Calibri"/>
        <family val="2"/>
      </rPr>
      <t>)</t>
    </r>
  </si>
  <si>
    <r>
      <t>=COUNTIF(</t>
    </r>
    <r>
      <rPr>
        <sz val="11"/>
        <color rgb="FFFF0000"/>
        <rFont val="Calibri"/>
        <family val="2"/>
      </rPr>
      <t>P28:P37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"Liability"</t>
    </r>
    <r>
      <rPr>
        <sz val="11"/>
        <color theme="1"/>
        <rFont val="Calibri"/>
        <family val="2"/>
      </rPr>
      <t>)</t>
    </r>
  </si>
  <si>
    <r>
      <t>=SUMIF(</t>
    </r>
    <r>
      <rPr>
        <sz val="11"/>
        <color rgb="FFFF0000"/>
        <rFont val="Calibri"/>
        <family val="2"/>
      </rPr>
      <t>P28:P37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"Comprehensive"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O28:O37</t>
    </r>
    <r>
      <rPr>
        <sz val="11"/>
        <color theme="1"/>
        <rFont val="Calibri"/>
        <family val="2"/>
      </rPr>
      <t>)</t>
    </r>
  </si>
  <si>
    <r>
      <t>=INDEX(</t>
    </r>
    <r>
      <rPr>
        <sz val="11"/>
        <color rgb="FFFF0000"/>
        <rFont val="Calibri"/>
        <family val="2"/>
      </rPr>
      <t>L28:P37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8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3</t>
    </r>
    <r>
      <rPr>
        <sz val="11"/>
        <color theme="1"/>
        <rFont val="Calibri"/>
        <family val="2"/>
      </rPr>
      <t>)</t>
    </r>
  </si>
  <si>
    <r>
      <t>=MATCH(</t>
    </r>
    <r>
      <rPr>
        <sz val="11"/>
        <color rgb="FFFF0000"/>
        <rFont val="Calibri"/>
        <family val="2"/>
      </rPr>
      <t>"A10002"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L28:L37</t>
    </r>
    <r>
      <rPr>
        <sz val="11"/>
        <color theme="1"/>
        <rFont val="Calibri"/>
        <family val="2"/>
      </rPr>
      <t>)</t>
    </r>
  </si>
  <si>
    <r>
      <t>=ROUND(</t>
    </r>
    <r>
      <rPr>
        <sz val="11"/>
        <color rgb="FFFF0000"/>
        <rFont val="Calibri"/>
        <family val="2"/>
      </rPr>
      <t>number</t>
    </r>
    <r>
      <rPr>
        <sz val="11"/>
        <color theme="1"/>
        <rFont val="Calibri"/>
        <family val="2"/>
      </rPr>
      <t>,</t>
    </r>
    <r>
      <rPr>
        <sz val="11"/>
        <color rgb="FFFF0000"/>
        <rFont val="Calibri"/>
        <family val="2"/>
      </rPr>
      <t xml:space="preserve"> </t>
    </r>
    <r>
      <rPr>
        <sz val="11"/>
        <color rgb="FF00B050"/>
        <rFont val="Calibri"/>
        <family val="2"/>
      </rPr>
      <t>num_digits</t>
    </r>
    <r>
      <rPr>
        <sz val="11"/>
        <color theme="1"/>
        <rFont val="Calibri"/>
        <family val="2"/>
      </rPr>
      <t>)</t>
    </r>
  </si>
  <si>
    <r>
      <t>=ROUND(</t>
    </r>
    <r>
      <rPr>
        <sz val="11"/>
        <color rgb="FFFF0000"/>
        <rFont val="Calibri"/>
        <family val="2"/>
      </rPr>
      <t>3.1415926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2</t>
    </r>
    <r>
      <rPr>
        <sz val="11"/>
        <color theme="1"/>
        <rFont val="Calibri"/>
        <family val="2"/>
      </rPr>
      <t>)</t>
    </r>
  </si>
  <si>
    <r>
      <t>=XLOOKUP(</t>
    </r>
    <r>
      <rPr>
        <sz val="11"/>
        <color rgb="FFFF0000"/>
        <rFont val="Calibri"/>
        <family val="2"/>
      </rPr>
      <t>lookup_value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lookup_array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return_array</t>
    </r>
    <r>
      <rPr>
        <sz val="11"/>
        <color theme="1"/>
        <rFont val="Calibri"/>
        <family val="2"/>
      </rPr>
      <t xml:space="preserve">, </t>
    </r>
    <r>
      <rPr>
        <sz val="11"/>
        <color theme="5" tint="-0.249977111117893"/>
        <rFont val="Calibri"/>
        <family val="2"/>
      </rPr>
      <t>[not_found]</t>
    </r>
    <r>
      <rPr>
        <sz val="11"/>
        <color theme="1"/>
        <rFont val="Calibri"/>
        <family val="2"/>
      </rPr>
      <t xml:space="preserve">, </t>
    </r>
    <r>
      <rPr>
        <sz val="11"/>
        <color rgb="FF7030A0"/>
        <rFont val="Calibri"/>
        <family val="2"/>
      </rPr>
      <t>[match_mode]</t>
    </r>
    <r>
      <rPr>
        <sz val="11"/>
        <color theme="1"/>
        <rFont val="Calibri"/>
        <family val="2"/>
      </rPr>
      <t xml:space="preserve">, </t>
    </r>
    <r>
      <rPr>
        <sz val="11"/>
        <color rgb="FF00B0F0"/>
        <rFont val="Calibri"/>
        <family val="2"/>
      </rPr>
      <t>[search_mode]</t>
    </r>
    <r>
      <rPr>
        <sz val="11"/>
        <color theme="1"/>
        <rFont val="Calibri"/>
        <family val="2"/>
      </rPr>
      <t>)</t>
    </r>
  </si>
  <si>
    <r>
      <t>=XLOOKUP(</t>
    </r>
    <r>
      <rPr>
        <sz val="11"/>
        <color rgb="FFFF0000"/>
        <rFont val="Calibri"/>
        <family val="2"/>
      </rPr>
      <t>"A10009"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L28:L37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"/>
        <family val="2"/>
      </rPr>
      <t>N28:N37</t>
    </r>
    <r>
      <rPr>
        <sz val="11"/>
        <color theme="1"/>
        <rFont val="Calibri"/>
        <family val="2"/>
      </rPr>
      <t xml:space="preserve">, </t>
    </r>
    <r>
      <rPr>
        <sz val="11"/>
        <color theme="5" tint="-0.249977111117893"/>
        <rFont val="Calibri"/>
        <family val="2"/>
      </rPr>
      <t>"not found"</t>
    </r>
    <r>
      <rPr>
        <sz val="11"/>
        <color theme="1"/>
        <rFont val="Calibri"/>
        <family val="2"/>
      </rPr>
      <t>)</t>
    </r>
  </si>
  <si>
    <r>
      <t xml:space="preserve">Q1. </t>
    </r>
    <r>
      <rPr>
        <sz val="11"/>
        <color theme="1"/>
        <rFont val="Calibri"/>
        <family val="2"/>
      </rPr>
      <t>What is the sum of all annual premiums?</t>
    </r>
  </si>
  <si>
    <r>
      <t xml:space="preserve">PRACTICE PROBLEMS </t>
    </r>
    <r>
      <rPr>
        <sz val="12"/>
        <color theme="1"/>
        <rFont val="Calibri"/>
        <family val="2"/>
      </rPr>
      <t>(see the given data table)</t>
    </r>
  </si>
  <si>
    <r>
      <rPr>
        <b/>
        <sz val="11"/>
        <color theme="1"/>
        <rFont val="Calibri"/>
        <family val="2"/>
      </rPr>
      <t xml:space="preserve">Q4. </t>
    </r>
    <r>
      <rPr>
        <sz val="11"/>
        <color theme="1"/>
        <rFont val="Calibri"/>
        <family val="2"/>
      </rPr>
      <t>How many policies have comprehensive coverages?</t>
    </r>
  </si>
  <si>
    <r>
      <t xml:space="preserve">Q6. </t>
    </r>
    <r>
      <rPr>
        <sz val="11"/>
        <color theme="1"/>
        <rFont val="Calibri"/>
        <family val="2"/>
      </rPr>
      <t>Return the value from the 5th row, 2nd column of the table (not including the column headers).</t>
    </r>
  </si>
  <si>
    <r>
      <t xml:space="preserve">Q8. </t>
    </r>
    <r>
      <rPr>
        <sz val="11"/>
        <color theme="1"/>
        <rFont val="Calibri"/>
        <family val="2"/>
      </rPr>
      <t>Search for policy A10001, and return its coverage type. If no such policy is found, return "No policy".</t>
    </r>
  </si>
  <si>
    <r>
      <t xml:space="preserve">Q9. </t>
    </r>
    <r>
      <rPr>
        <sz val="11"/>
        <color theme="1"/>
        <rFont val="Calibri"/>
        <family val="2"/>
      </rPr>
      <t>Search for policy A10011, and return its vehicle year. If no such policy is found, return "No policy".</t>
    </r>
  </si>
  <si>
    <r>
      <t xml:space="preserve">Q3. </t>
    </r>
    <r>
      <rPr>
        <sz val="11"/>
        <color theme="1"/>
        <rFont val="Calibri"/>
        <family val="2"/>
      </rPr>
      <t>Say that less than 40 years old is considered to be young. Write an IF statement to verify if policyholder A10006 is "Young" or "Older".</t>
    </r>
  </si>
  <si>
    <r>
      <t xml:space="preserve">Q5. </t>
    </r>
    <r>
      <rPr>
        <sz val="11"/>
        <color theme="1"/>
        <rFont val="Calibri"/>
        <family val="2"/>
      </rPr>
      <t>What is the sum of all annual premiums for liability covered policies?</t>
    </r>
  </si>
  <si>
    <r>
      <rPr>
        <b/>
        <sz val="11"/>
        <color theme="1"/>
        <rFont val="Calibri"/>
        <family val="2"/>
      </rPr>
      <t xml:space="preserve">Q7. </t>
    </r>
    <r>
      <rPr>
        <sz val="11"/>
        <color theme="1"/>
        <rFont val="Calibri"/>
        <family val="2"/>
      </rPr>
      <t>Out of the ten rows of data, return the row number for the 2014 car. (Hint: use match type 0)</t>
    </r>
  </si>
  <si>
    <r>
      <rPr>
        <b/>
        <sz val="11"/>
        <color theme="1"/>
        <rFont val="Calibri"/>
        <family val="2"/>
      </rPr>
      <t>Q2</t>
    </r>
    <r>
      <rPr>
        <sz val="11"/>
        <color theme="1"/>
        <rFont val="Calibri"/>
        <family val="2"/>
      </rPr>
      <t xml:space="preserve">. Round the following number to 3 decimal places:  </t>
    </r>
  </si>
  <si>
    <t>A tool within Excel that ensures the accuracy of data entered by restricting the type, value, or range of data allowed in a cell.</t>
  </si>
  <si>
    <t>Example: Restricting State Entry to a Predefined List</t>
  </si>
  <si>
    <t>TX</t>
  </si>
  <si>
    <t>NY</t>
  </si>
  <si>
    <t>CA</t>
  </si>
  <si>
    <t>FL</t>
  </si>
  <si>
    <t>IL</t>
  </si>
  <si>
    <t>PA</t>
  </si>
  <si>
    <t>OH</t>
  </si>
  <si>
    <t>GA</t>
  </si>
  <si>
    <t>NC</t>
  </si>
  <si>
    <t>MI</t>
  </si>
  <si>
    <t>Now, we want to create an Insurance Product's Screening Form with:</t>
  </si>
  <si>
    <t>Screening Form</t>
  </si>
  <si>
    <t>Applicant Name:</t>
  </si>
  <si>
    <t>Joe Bruin</t>
  </si>
  <si>
    <t>Age:</t>
  </si>
  <si>
    <t>State:</t>
  </si>
  <si>
    <t>BASIC EXCEL REVIEW</t>
  </si>
  <si>
    <t>DATA VALIDATION</t>
  </si>
  <si>
    <t>Function:</t>
  </si>
  <si>
    <t>Commonly used:</t>
  </si>
  <si>
    <t>Syntax:</t>
  </si>
  <si>
    <t>What:</t>
  </si>
  <si>
    <t>Where:</t>
  </si>
  <si>
    <t>When to use:</t>
  </si>
  <si>
    <t>Here is a list of 10 approved states, in range B14 to B23:</t>
  </si>
  <si>
    <r>
      <rPr>
        <b/>
        <sz val="11"/>
        <color theme="1"/>
        <rFont val="Calibri"/>
        <family val="2"/>
      </rPr>
      <t>(a)</t>
    </r>
    <r>
      <rPr>
        <sz val="11"/>
        <color theme="1"/>
        <rFont val="Calibri"/>
        <family val="2"/>
      </rPr>
      <t xml:space="preserve"> Age field which limits input between 18 years old and 69 years old</t>
    </r>
  </si>
  <si>
    <r>
      <rPr>
        <b/>
        <sz val="11"/>
        <color theme="1"/>
        <rFont val="Calibri"/>
        <family val="2"/>
      </rPr>
      <t>(b)</t>
    </r>
    <r>
      <rPr>
        <sz val="11"/>
        <color theme="1"/>
        <rFont val="Calibri"/>
        <family val="2"/>
      </rPr>
      <t xml:space="preserve"> State field which limits input to 10 pre-approved states</t>
    </r>
  </si>
  <si>
    <t>Steps for Setting Up Data Validation:</t>
  </si>
  <si>
    <r>
      <t xml:space="preserve">1. </t>
    </r>
    <r>
      <rPr>
        <b/>
        <sz val="11"/>
        <color theme="1"/>
        <rFont val="Calibri"/>
        <family val="2"/>
      </rPr>
      <t>Select</t>
    </r>
    <r>
      <rPr>
        <sz val="11"/>
        <color theme="1"/>
        <rFont val="Calibri"/>
        <family val="2"/>
      </rPr>
      <t xml:space="preserve"> the cells where data validation is needed.</t>
    </r>
  </si>
  <si>
    <r>
      <t xml:space="preserve">2. Go to the </t>
    </r>
    <r>
      <rPr>
        <b/>
        <sz val="11"/>
        <color theme="1"/>
        <rFont val="Calibri"/>
        <family val="2"/>
      </rPr>
      <t>Data tab</t>
    </r>
    <r>
      <rPr>
        <sz val="11"/>
        <color theme="1"/>
        <rFont val="Calibri"/>
        <family val="2"/>
      </rPr>
      <t xml:space="preserve"> on the Ribbon.</t>
    </r>
  </si>
  <si>
    <r>
      <t xml:space="preserve">3. Click on </t>
    </r>
    <r>
      <rPr>
        <b/>
        <sz val="11"/>
        <color theme="1"/>
        <rFont val="Calibri"/>
        <family val="2"/>
      </rPr>
      <t>Data Validation</t>
    </r>
    <r>
      <rPr>
        <sz val="11"/>
        <color theme="1"/>
        <rFont val="Calibri"/>
        <family val="2"/>
      </rPr>
      <t>.</t>
    </r>
  </si>
  <si>
    <t>List:</t>
  </si>
  <si>
    <r>
      <t>1. In the</t>
    </r>
    <r>
      <rPr>
        <b/>
        <sz val="11"/>
        <color theme="1"/>
        <rFont val="Calibri"/>
        <family val="2"/>
      </rPr>
      <t xml:space="preserve"> Settings</t>
    </r>
    <r>
      <rPr>
        <sz val="11"/>
        <color theme="1"/>
        <rFont val="Calibri"/>
        <family val="2"/>
      </rPr>
      <t xml:space="preserve"> tab, under Allow, select </t>
    </r>
    <r>
      <rPr>
        <b/>
        <sz val="11"/>
        <color theme="1"/>
        <rFont val="Calibri"/>
        <family val="2"/>
      </rPr>
      <t>List</t>
    </r>
    <r>
      <rPr>
        <sz val="11"/>
        <color theme="1"/>
        <rFont val="Calibri"/>
        <family val="2"/>
      </rPr>
      <t>.</t>
    </r>
  </si>
  <si>
    <t>Whole Number:</t>
  </si>
  <si>
    <r>
      <t>1. In the</t>
    </r>
    <r>
      <rPr>
        <b/>
        <sz val="11"/>
        <color theme="1"/>
        <rFont val="Calibri"/>
        <family val="2"/>
      </rPr>
      <t xml:space="preserve"> Settings</t>
    </r>
    <r>
      <rPr>
        <sz val="11"/>
        <color theme="1"/>
        <rFont val="Calibri"/>
        <family val="2"/>
      </rPr>
      <t xml:space="preserve"> tab, under Allow, select </t>
    </r>
    <r>
      <rPr>
        <b/>
        <sz val="11"/>
        <color theme="1"/>
        <rFont val="Calibri"/>
        <family val="2"/>
      </rPr>
      <t>Whole Number</t>
    </r>
    <r>
      <rPr>
        <sz val="11"/>
        <color theme="1"/>
        <rFont val="Calibri"/>
        <family val="2"/>
      </rPr>
      <t>.</t>
    </r>
  </si>
  <si>
    <r>
      <t xml:space="preserve">2. Enter the </t>
    </r>
    <r>
      <rPr>
        <b/>
        <sz val="11"/>
        <color theme="1"/>
        <rFont val="Calibri"/>
        <family val="2"/>
      </rPr>
      <t xml:space="preserve">minimum </t>
    </r>
    <r>
      <rPr>
        <sz val="11"/>
        <color theme="1"/>
        <rFont val="Calibri"/>
        <family val="2"/>
      </rPr>
      <t xml:space="preserve">and </t>
    </r>
    <r>
      <rPr>
        <b/>
        <sz val="11"/>
        <color theme="1"/>
        <rFont val="Calibri"/>
        <family val="2"/>
      </rPr>
      <t xml:space="preserve">maximum </t>
    </r>
    <r>
      <rPr>
        <sz val="11"/>
        <color theme="1"/>
        <rFont val="Calibri"/>
        <family val="2"/>
      </rPr>
      <t>values to allow.</t>
    </r>
  </si>
  <si>
    <r>
      <t>2. In the</t>
    </r>
    <r>
      <rPr>
        <b/>
        <sz val="11"/>
        <color theme="1"/>
        <rFont val="Calibri"/>
        <family val="2"/>
      </rPr>
      <t xml:space="preserve"> Source</t>
    </r>
    <r>
      <rPr>
        <sz val="11"/>
        <color theme="1"/>
        <rFont val="Calibri"/>
        <family val="2"/>
      </rPr>
      <t xml:space="preserve"> box, type or select the range using the mouse.</t>
    </r>
  </si>
  <si>
    <t>When we require input from another user and we want to restrict the input to a validated range, therefore preventing errors/extraneous data.</t>
  </si>
  <si>
    <t>EXERCISES</t>
  </si>
  <si>
    <t>Auto</t>
  </si>
  <si>
    <t>Home</t>
  </si>
  <si>
    <t>Dwelling</t>
  </si>
  <si>
    <t>Personal Property</t>
  </si>
  <si>
    <r>
      <t xml:space="preserve">Lines of business: </t>
    </r>
    <r>
      <rPr>
        <sz val="11"/>
        <color theme="1"/>
        <rFont val="Calibri"/>
        <family val="2"/>
      </rPr>
      <t>Auto, home</t>
    </r>
  </si>
  <si>
    <r>
      <t xml:space="preserve">Coverage type (auto): </t>
    </r>
    <r>
      <rPr>
        <sz val="11"/>
        <color theme="1"/>
        <rFont val="Calibri"/>
        <family val="2"/>
      </rPr>
      <t>Liability, collision, comprehensive, uninsured motorist</t>
    </r>
  </si>
  <si>
    <r>
      <t xml:space="preserve">Coverage type (home): </t>
    </r>
    <r>
      <rPr>
        <sz val="11"/>
        <color theme="1"/>
        <rFont val="Calibri"/>
        <family val="2"/>
      </rPr>
      <t>Dwelling, personal property, flooding, earthquake</t>
    </r>
  </si>
  <si>
    <t>Coverage Types (Auto)</t>
  </si>
  <si>
    <t>Coverage Types (Home)</t>
  </si>
  <si>
    <t>Uninsured motorist</t>
  </si>
  <si>
    <t>Flooding</t>
  </si>
  <si>
    <t>Earthquake</t>
  </si>
  <si>
    <r>
      <t xml:space="preserve">You're building a pricing model for an underwriter. You want to ensure that the underwriter can only select valid combinations of a line of business (LOB) and coverage type. This will require </t>
    </r>
    <r>
      <rPr>
        <b/>
        <sz val="11"/>
        <color theme="1"/>
        <rFont val="Calibri"/>
        <family val="2"/>
      </rPr>
      <t>dependent dropdown lists.</t>
    </r>
  </si>
  <si>
    <t>LOBs</t>
  </si>
  <si>
    <t>1. List the two LOBs, four auto coverage types, and four home coverage types in a table.</t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</si>
  <si>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 xml:space="preserve">Create </t>
    </r>
    <r>
      <rPr>
        <b/>
        <sz val="11"/>
        <color theme="1"/>
        <rFont val="Calibri"/>
        <family val="2"/>
      </rPr>
      <t>named ranges</t>
    </r>
    <r>
      <rPr>
        <sz val="11"/>
        <color theme="1"/>
        <rFont val="Calibri"/>
        <family val="2"/>
      </rPr>
      <t xml:space="preserve"> for the lines of business, auto coverage types, and home coverage types.</t>
    </r>
  </si>
  <si>
    <r>
      <t xml:space="preserve">2. Highlight the two cells containing the LOBs, and enter the name "LOBs" in the </t>
    </r>
    <r>
      <rPr>
        <b/>
        <sz val="11"/>
        <color theme="1"/>
        <rFont val="Calibri"/>
        <family val="2"/>
      </rPr>
      <t xml:space="preserve">name box </t>
    </r>
    <r>
      <rPr>
        <sz val="11"/>
        <color theme="1"/>
        <rFont val="Calibri"/>
        <family val="2"/>
      </rPr>
      <t>(white box to the left of the formula bar).</t>
    </r>
  </si>
  <si>
    <t>3. Repeat this step for the auto coverage types (name the range "Auto"), and the home coverage types (name the range "Home").</t>
  </si>
  <si>
    <t xml:space="preserve">      - Verify the named ranges by going to the "Formulas" tab &gt; Defined Names &gt; Name Manager.</t>
  </si>
  <si>
    <t>Policy ID</t>
  </si>
  <si>
    <t>Line of Business</t>
  </si>
  <si>
    <t>Coverage Type</t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</si>
  <si>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 xml:space="preserve">Using the named ranges, validate the </t>
    </r>
    <r>
      <rPr>
        <b/>
        <sz val="11"/>
        <color theme="1"/>
        <rFont val="Calibri"/>
        <family val="2"/>
      </rPr>
      <t>"</t>
    </r>
    <r>
      <rPr>
        <sz val="11"/>
        <color theme="1"/>
        <rFont val="Calibri"/>
        <family val="2"/>
      </rPr>
      <t>Line of Business" and "Coverage Type" columns to prepare for user-entered data.</t>
    </r>
  </si>
  <si>
    <r>
      <t xml:space="preserve">5. Go to data validation, choose list, and for the source, enter </t>
    </r>
    <r>
      <rPr>
        <b/>
        <sz val="11"/>
        <color theme="1"/>
        <rFont val="Calibri"/>
        <family val="2"/>
      </rPr>
      <t>=LOBs</t>
    </r>
    <r>
      <rPr>
        <sz val="11"/>
        <color theme="1"/>
        <rFont val="Calibri"/>
        <family val="2"/>
      </rPr>
      <t xml:space="preserve"> (our named range for the lines of business).</t>
    </r>
  </si>
  <si>
    <r>
      <t xml:space="preserve">      - The </t>
    </r>
    <r>
      <rPr>
        <b/>
        <sz val="11"/>
        <color theme="1"/>
        <rFont val="Calibri"/>
        <family val="2"/>
      </rPr>
      <t>INDIRECT</t>
    </r>
    <r>
      <rPr>
        <sz val="11"/>
        <color theme="1"/>
        <rFont val="Calibri"/>
        <family val="2"/>
      </rPr>
      <t xml:space="preserve"> function takes a text string and treats it as a </t>
    </r>
    <r>
      <rPr>
        <b/>
        <sz val="11"/>
        <color theme="1"/>
        <rFont val="Calibri"/>
        <family val="2"/>
      </rPr>
      <t>range reference.</t>
    </r>
  </si>
  <si>
    <t>TEXT FUNCTIONS</t>
  </si>
  <si>
    <t>Input:</t>
  </si>
  <si>
    <t>Output:</t>
  </si>
  <si>
    <t>LEFT/RIGHT</t>
  </si>
  <si>
    <t>To extract pieces of information from within a complex string</t>
  </si>
  <si>
    <t>Returns a specified number of characters from a specified starting point of a string</t>
  </si>
  <si>
    <t>MID</t>
  </si>
  <si>
    <r>
      <t>Returns a specified number of characters from the beginning (</t>
    </r>
    <r>
      <rPr>
        <b/>
        <sz val="11"/>
        <color theme="1"/>
        <rFont val="Calibri"/>
        <family val="2"/>
      </rPr>
      <t>LEFT</t>
    </r>
    <r>
      <rPr>
        <sz val="11"/>
        <color theme="1"/>
        <rFont val="Calibri"/>
        <family val="2"/>
      </rPr>
      <t>)/ending (</t>
    </r>
    <r>
      <rPr>
        <b/>
        <sz val="11"/>
        <color theme="1"/>
        <rFont val="Calibri"/>
        <family val="2"/>
      </rPr>
      <t>RIGHT</t>
    </r>
    <r>
      <rPr>
        <sz val="11"/>
        <color theme="1"/>
        <rFont val="Calibri"/>
        <family val="2"/>
      </rPr>
      <t>) of a string</t>
    </r>
  </si>
  <si>
    <r>
      <t>=MID(</t>
    </r>
    <r>
      <rPr>
        <sz val="11"/>
        <color rgb="FFFF0000"/>
        <rFont val="Calibri"/>
        <family val="2"/>
      </rPr>
      <t>text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 xml:space="preserve">start_num, </t>
    </r>
    <r>
      <rPr>
        <sz val="11"/>
        <color rgb="FF0070C0"/>
        <rFont val="Calibri"/>
        <family val="2"/>
      </rPr>
      <t>num_chars</t>
    </r>
    <r>
      <rPr>
        <sz val="11"/>
        <color theme="1"/>
        <rFont val="Calibri"/>
        <family val="2"/>
      </rPr>
      <t>)</t>
    </r>
  </si>
  <si>
    <r>
      <rPr>
        <sz val="11"/>
        <color rgb="FF0070C0"/>
        <rFont val="Calibri"/>
        <family val="2"/>
      </rPr>
      <t>num_chars</t>
    </r>
    <r>
      <rPr>
        <sz val="11"/>
        <color theme="1"/>
        <rFont val="Calibri"/>
        <family val="2"/>
      </rPr>
      <t xml:space="preserve"> = how many characters to pull out</t>
    </r>
  </si>
  <si>
    <r>
      <t xml:space="preserve">The substring from string </t>
    </r>
    <r>
      <rPr>
        <sz val="11"/>
        <color rgb="FFFF0000"/>
        <rFont val="Calibri"/>
        <family val="2"/>
      </rPr>
      <t xml:space="preserve">text </t>
    </r>
    <r>
      <rPr>
        <sz val="11"/>
        <color theme="1"/>
        <rFont val="Calibri"/>
        <family val="2"/>
      </rPr>
      <t>of length</t>
    </r>
    <r>
      <rPr>
        <sz val="11"/>
        <color rgb="FFFF0000"/>
        <rFont val="Calibri"/>
        <family val="2"/>
      </rPr>
      <t xml:space="preserve"> </t>
    </r>
    <r>
      <rPr>
        <sz val="11"/>
        <color rgb="FF00B050"/>
        <rFont val="Calibri"/>
        <family val="2"/>
      </rPr>
      <t>num_chars</t>
    </r>
  </si>
  <si>
    <r>
      <t xml:space="preserve">The substring from string </t>
    </r>
    <r>
      <rPr>
        <sz val="11"/>
        <color rgb="FFFF0000"/>
        <rFont val="Calibri"/>
        <family val="2"/>
      </rPr>
      <t xml:space="preserve">text </t>
    </r>
    <r>
      <rPr>
        <sz val="11"/>
        <color theme="1"/>
        <rFont val="Calibri"/>
        <family val="2"/>
      </rPr>
      <t>of length</t>
    </r>
    <r>
      <rPr>
        <sz val="11"/>
        <color rgb="FFFF0000"/>
        <rFont val="Calibri"/>
        <family val="2"/>
      </rPr>
      <t xml:space="preserve"> </t>
    </r>
    <r>
      <rPr>
        <sz val="11"/>
        <color rgb="FF0070C0"/>
        <rFont val="Calibri"/>
        <family val="2"/>
      </rPr>
      <t>num_chars</t>
    </r>
    <r>
      <rPr>
        <sz val="11"/>
        <color theme="1"/>
        <rFont val="Calibri"/>
        <family val="2"/>
      </rPr>
      <t xml:space="preserve">, starting from position </t>
    </r>
    <r>
      <rPr>
        <sz val="11"/>
        <color rgb="FF00B050"/>
        <rFont val="Calibri"/>
        <family val="2"/>
      </rPr>
      <t>start_num</t>
    </r>
  </si>
  <si>
    <r>
      <t>=</t>
    </r>
    <r>
      <rPr>
        <b/>
        <sz val="11"/>
        <color theme="1"/>
        <rFont val="Calibri"/>
        <family val="2"/>
      </rPr>
      <t>LEFT</t>
    </r>
    <r>
      <rPr>
        <sz val="11"/>
        <color theme="1"/>
        <rFont val="Calibri"/>
        <family val="2"/>
      </rPr>
      <t>/</t>
    </r>
    <r>
      <rPr>
        <b/>
        <sz val="11"/>
        <color theme="1"/>
        <rFont val="Calibri"/>
        <family val="2"/>
      </rPr>
      <t>RIGHT</t>
    </r>
    <r>
      <rPr>
        <sz val="11"/>
        <color theme="1"/>
        <rFont val="Calibri"/>
        <family val="2"/>
      </rPr>
      <t>(</t>
    </r>
    <r>
      <rPr>
        <sz val="11"/>
        <color rgb="FFFF0000"/>
        <rFont val="Calibri"/>
        <family val="2"/>
      </rPr>
      <t>text</t>
    </r>
    <r>
      <rPr>
        <sz val="11"/>
        <color theme="1"/>
        <rFont val="Calibri"/>
        <family val="2"/>
      </rPr>
      <t>, [</t>
    </r>
    <r>
      <rPr>
        <sz val="11"/>
        <color rgb="FF00B050"/>
        <rFont val="Calibri"/>
        <family val="2"/>
      </rPr>
      <t>num_chars</t>
    </r>
    <r>
      <rPr>
        <sz val="11"/>
        <color theme="1"/>
        <rFont val="Calibri"/>
        <family val="2"/>
      </rPr>
      <t>])</t>
    </r>
  </si>
  <si>
    <r>
      <rPr>
        <sz val="11"/>
        <color rgb="FFFF0000"/>
        <rFont val="Calibri"/>
        <family val="2"/>
      </rPr>
      <t>text</t>
    </r>
    <r>
      <rPr>
        <sz val="11"/>
        <color theme="1"/>
        <rFont val="Calibri"/>
        <family val="2"/>
      </rPr>
      <t xml:space="preserve"> = the cell or string to extract from
</t>
    </r>
    <r>
      <rPr>
        <sz val="11"/>
        <color rgb="FF00B050"/>
        <rFont val="Calibri"/>
        <family val="2"/>
      </rPr>
      <t>num_chars</t>
    </r>
    <r>
      <rPr>
        <sz val="11"/>
        <color theme="1"/>
        <rFont val="Calibri"/>
        <family val="2"/>
      </rPr>
      <t xml:space="preserve"> = how many characters to pull out (optional)</t>
    </r>
  </si>
  <si>
    <t>Concatenated String</t>
  </si>
  <si>
    <t>UID</t>
  </si>
  <si>
    <t>Graduation Year</t>
  </si>
  <si>
    <t>006492738_2029_3.24</t>
  </si>
  <si>
    <t>106005396_2028_3.76</t>
  </si>
  <si>
    <t>506856114_2026_3.55</t>
  </si>
  <si>
    <t>805229063_2028_4.00</t>
  </si>
  <si>
    <t>306310224_2027_3.81</t>
  </si>
  <si>
    <r>
      <t>Example:</t>
    </r>
    <r>
      <rPr>
        <sz val="11"/>
        <color theme="1"/>
        <rFont val="Calibri"/>
        <family val="2"/>
      </rPr>
      <t xml:space="preserve"> Separately extract the UID, expected graduation year, and GPA for the following students:</t>
    </r>
    <r>
      <rPr>
        <b/>
        <sz val="11"/>
        <color theme="1"/>
        <rFont val="Calibri"/>
        <family val="2"/>
      </rPr>
      <t xml:space="preserve">  </t>
    </r>
  </si>
  <si>
    <t>GPA</t>
  </si>
  <si>
    <t>Returns the starting position (as a number) of one text string within another</t>
  </si>
  <si>
    <t>To locate a specific character (ex. underscore, comma) and use in conjunction with LEFT/RIGHT/MID to extract substrings</t>
  </si>
  <si>
    <r>
      <t>=FIND(</t>
    </r>
    <r>
      <rPr>
        <sz val="11"/>
        <color rgb="FFFF0000"/>
        <rFont val="Calibri"/>
        <family val="2"/>
      </rPr>
      <t>find_text</t>
    </r>
    <r>
      <rPr>
        <sz val="11"/>
        <color theme="1"/>
        <rFont val="Calibri"/>
        <family val="2"/>
      </rPr>
      <t xml:space="preserve">, </t>
    </r>
    <r>
      <rPr>
        <sz val="11"/>
        <color rgb="FF00B050"/>
        <rFont val="Calibri"/>
        <family val="2"/>
      </rPr>
      <t>within_text</t>
    </r>
    <r>
      <rPr>
        <sz val="11"/>
        <rFont val="Calibri"/>
        <family val="2"/>
      </rPr>
      <t>, [</t>
    </r>
    <r>
      <rPr>
        <sz val="11"/>
        <color rgb="FF0070C0"/>
        <rFont val="Calibri"/>
        <family val="2"/>
      </rPr>
      <t>start_num</t>
    </r>
    <r>
      <rPr>
        <sz val="11"/>
        <rFont val="Calibri"/>
        <family val="2"/>
      </rPr>
      <t>]</t>
    </r>
    <r>
      <rPr>
        <sz val="11"/>
        <color theme="1"/>
        <rFont val="Calibri"/>
        <family val="2"/>
      </rPr>
      <t>)</t>
    </r>
  </si>
  <si>
    <r>
      <rPr>
        <sz val="11"/>
        <color rgb="FFFF0000"/>
        <rFont val="Calibri"/>
        <family val="2"/>
      </rPr>
      <t>find_text</t>
    </r>
    <r>
      <rPr>
        <sz val="11"/>
        <color theme="1"/>
        <rFont val="Calibri"/>
        <family val="2"/>
      </rPr>
      <t xml:space="preserve"> = the text/character you are looking for
</t>
    </r>
    <r>
      <rPr>
        <sz val="11"/>
        <color rgb="FF00B050"/>
        <rFont val="Calibri"/>
        <family val="2"/>
      </rPr>
      <t>within_text</t>
    </r>
    <r>
      <rPr>
        <sz val="11"/>
        <color theme="1"/>
        <rFont val="Calibri"/>
        <family val="2"/>
      </rPr>
      <t xml:space="preserve"> = the cell or string to extract from</t>
    </r>
  </si>
  <si>
    <r>
      <rPr>
        <sz val="11"/>
        <color rgb="FF0070C0"/>
        <rFont val="Calibri"/>
        <family val="2"/>
      </rPr>
      <t xml:space="preserve">start_num </t>
    </r>
    <r>
      <rPr>
        <sz val="11"/>
        <color theme="1"/>
        <rFont val="Calibri"/>
        <family val="2"/>
      </rPr>
      <t>= the character position to start searching from (optional)</t>
    </r>
  </si>
  <si>
    <r>
      <rPr>
        <sz val="11"/>
        <color rgb="FFFF0000"/>
        <rFont val="Calibri"/>
        <family val="2"/>
      </rPr>
      <t>text</t>
    </r>
    <r>
      <rPr>
        <sz val="11"/>
        <color theme="1"/>
        <rFont val="Calibri"/>
        <family val="2"/>
      </rPr>
      <t xml:space="preserve"> = the cell or string to extract from
</t>
    </r>
    <r>
      <rPr>
        <sz val="11"/>
        <color rgb="FF00B050"/>
        <rFont val="Calibri"/>
        <family val="2"/>
      </rPr>
      <t>start_num</t>
    </r>
    <r>
      <rPr>
        <sz val="11"/>
        <color theme="1"/>
        <rFont val="Calibri"/>
        <family val="2"/>
      </rPr>
      <t xml:space="preserve"> = the character position to start extracting from</t>
    </r>
  </si>
  <si>
    <r>
      <t xml:space="preserve">A number representing the starting character position of the found string </t>
    </r>
    <r>
      <rPr>
        <sz val="11"/>
        <color rgb="FFFF0000"/>
        <rFont val="Calibri"/>
        <family val="2"/>
      </rPr>
      <t>find_text</t>
    </r>
  </si>
  <si>
    <t>FIND</t>
  </si>
  <si>
    <t>LEN</t>
  </si>
  <si>
    <t>Returns the total number of characters in a text string</t>
  </si>
  <si>
    <t>To find the total length of a string, often used in a formula with RIGHT or FIND to calculate how many characters to extract</t>
  </si>
  <si>
    <r>
      <t>=LEN(</t>
    </r>
    <r>
      <rPr>
        <sz val="11"/>
        <color rgb="FFFF0000"/>
        <rFont val="Calibri"/>
        <family val="2"/>
      </rPr>
      <t>text</t>
    </r>
    <r>
      <rPr>
        <sz val="11"/>
        <rFont val="Calibri"/>
        <family val="2"/>
      </rPr>
      <t>)</t>
    </r>
  </si>
  <si>
    <r>
      <rPr>
        <sz val="11"/>
        <color rgb="FFFF0000"/>
        <rFont val="Calibri"/>
        <family val="2"/>
      </rPr>
      <t>text</t>
    </r>
    <r>
      <rPr>
        <sz val="11"/>
        <color theme="1"/>
        <rFont val="Calibri"/>
        <family val="2"/>
      </rPr>
      <t xml:space="preserve"> = the cell or string to be measured
</t>
    </r>
  </si>
  <si>
    <t>A number representing the total character count</t>
  </si>
  <si>
    <t>You read in data that has the name and policy ID formatted like so:</t>
  </si>
  <si>
    <t xml:space="preserve"> </t>
  </si>
  <si>
    <r>
      <rPr>
        <b/>
        <sz val="11"/>
        <color theme="1"/>
        <rFont val="Calibri"/>
        <family val="2"/>
      </rPr>
      <t xml:space="preserve">NOTE: </t>
    </r>
    <r>
      <rPr>
        <sz val="11"/>
        <color theme="1"/>
        <rFont val="Calibri"/>
        <family val="2"/>
      </rPr>
      <t>Excel primarily uses one</t>
    </r>
    <r>
      <rPr>
        <b/>
        <sz val="11"/>
        <color theme="1"/>
        <rFont val="Calibri"/>
        <family val="2"/>
      </rPr>
      <t xml:space="preserve">-based indexing </t>
    </r>
    <r>
      <rPr>
        <sz val="11"/>
        <color theme="1"/>
        <rFont val="Calibri"/>
        <family val="2"/>
      </rPr>
      <t>(i.e. the "a" in "abcde" is index 1, the "b" is index 2, etc.)</t>
    </r>
  </si>
  <si>
    <r>
      <t xml:space="preserve">Example: </t>
    </r>
    <r>
      <rPr>
        <sz val="11"/>
        <color theme="1"/>
        <rFont val="Calibri"/>
        <family val="2"/>
      </rPr>
      <t>Using the UID_Year_GPA table from above, find the string position of the first and second underscores (_).</t>
    </r>
  </si>
  <si>
    <t xml:space="preserve">First Underscore: </t>
  </si>
  <si>
    <t xml:space="preserve">Second Underscore: </t>
  </si>
  <si>
    <r>
      <t xml:space="preserve">Example: </t>
    </r>
    <r>
      <rPr>
        <sz val="11"/>
        <color theme="1"/>
        <rFont val="Calibri"/>
        <family val="2"/>
      </rPr>
      <t>Find the length of both the UID and the concatenated string.</t>
    </r>
  </si>
  <si>
    <t>UID:</t>
  </si>
  <si>
    <t>Concatenated String:</t>
  </si>
  <si>
    <t>Example: Determining Required Sales Volume</t>
  </si>
  <si>
    <t>Variable</t>
  </si>
  <si>
    <t>Value</t>
  </si>
  <si>
    <t>Price per Policy</t>
  </si>
  <si>
    <t>Variable Cost</t>
  </si>
  <si>
    <t>Fixed Cost</t>
  </si>
  <si>
    <t>Target Profit</t>
  </si>
  <si>
    <t>Steps for Using Goal Seek</t>
  </si>
  <si>
    <t>2. Go to Data &gt; What-If Analysis &gt; Goal Seek.</t>
  </si>
  <si>
    <t>6. Click OK and observe the result.</t>
  </si>
  <si>
    <t>GOAL SEEK</t>
  </si>
  <si>
    <t>A built-in Excel tool that finds the input value needed to achieve a specific goal in a formula.</t>
  </si>
  <si>
    <t>Example: Finding a Breakeven Interest Rate</t>
  </si>
  <si>
    <t>Scenario:</t>
  </si>
  <si>
    <t>Example: Calculating a Final Grade</t>
  </si>
  <si>
    <t>Assignment</t>
  </si>
  <si>
    <t>Score</t>
  </si>
  <si>
    <t>Weight</t>
  </si>
  <si>
    <t>Midterm 1</t>
  </si>
  <si>
    <t>Midterm 2</t>
  </si>
  <si>
    <t>Homework</t>
  </si>
  <si>
    <t>Final</t>
  </si>
  <si>
    <t>Final Grade:</t>
  </si>
  <si>
    <t>1. Calculate final grade with a guessed final exam grade in cell C22.</t>
  </si>
  <si>
    <t xml:space="preserve">      - What is the highest interest rate the client could afford?</t>
  </si>
  <si>
    <t>Loan Amount</t>
  </si>
  <si>
    <t>Amount</t>
  </si>
  <si>
    <t>Term (Years)</t>
  </si>
  <si>
    <t>Input</t>
  </si>
  <si>
    <t>Interest Rate</t>
  </si>
  <si>
    <t>Monthly Payement:</t>
  </si>
  <si>
    <t xml:space="preserve">      - They can only afford to pay $2,000 per month</t>
  </si>
  <si>
    <r>
      <t xml:space="preserve">It can be found under the </t>
    </r>
    <r>
      <rPr>
        <b/>
        <sz val="11"/>
        <color theme="1"/>
        <rFont val="Calibri"/>
        <family val="2"/>
      </rPr>
      <t>Data</t>
    </r>
    <r>
      <rPr>
        <sz val="11"/>
        <color theme="1"/>
        <rFont val="Calibri"/>
        <family val="2"/>
      </rPr>
      <t xml:space="preserve"> tab, in the </t>
    </r>
    <r>
      <rPr>
        <b/>
        <sz val="11"/>
        <color theme="1"/>
        <rFont val="Calibri"/>
        <family val="2"/>
      </rPr>
      <t>Forecast group</t>
    </r>
    <r>
      <rPr>
        <sz val="11"/>
        <color theme="1"/>
        <rFont val="Calibri"/>
        <family val="2"/>
      </rPr>
      <t xml:space="preserve">, by clicking on </t>
    </r>
    <r>
      <rPr>
        <b/>
        <sz val="11"/>
        <color theme="1"/>
        <rFont val="Calibri"/>
        <family val="2"/>
      </rPr>
      <t>What-If Analysis</t>
    </r>
    <r>
      <rPr>
        <sz val="11"/>
        <color theme="1"/>
        <rFont val="Calibri"/>
        <family val="2"/>
      </rPr>
      <t>, then Goal Seek.</t>
    </r>
  </si>
  <si>
    <r>
      <t xml:space="preserve">     </t>
    </r>
    <r>
      <rPr>
        <sz val="11"/>
        <color theme="1"/>
        <rFont val="Calibri"/>
        <family val="2"/>
      </rPr>
      <t xml:space="preserve"> -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A student wants to achieve a 90% (A-) in their class</t>
    </r>
  </si>
  <si>
    <r>
      <t xml:space="preserve">      </t>
    </r>
    <r>
      <rPr>
        <sz val="11"/>
        <color theme="1"/>
        <rFont val="Calibri"/>
        <family val="2"/>
      </rPr>
      <t>-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They've received all of their class grades except for the final</t>
    </r>
  </si>
  <si>
    <r>
      <t xml:space="preserve">      </t>
    </r>
    <r>
      <rPr>
        <sz val="11"/>
        <color theme="1"/>
        <rFont val="Calibri"/>
        <family val="2"/>
      </rPr>
      <t>- What score does the student need to achieve on the final for an A- class grade?</t>
    </r>
  </si>
  <si>
    <r>
      <t xml:space="preserve">3. Set cell: </t>
    </r>
    <r>
      <rPr>
        <b/>
        <sz val="11"/>
        <color theme="1"/>
        <rFont val="Calibri"/>
        <family val="2"/>
      </rPr>
      <t xml:space="preserve">C23 </t>
    </r>
    <r>
      <rPr>
        <sz val="11"/>
        <color theme="1"/>
        <rFont val="Calibri"/>
        <family val="2"/>
      </rPr>
      <t>(final grade cell)</t>
    </r>
  </si>
  <si>
    <r>
      <t xml:space="preserve">4. To value: </t>
    </r>
    <r>
      <rPr>
        <b/>
        <sz val="11"/>
        <color theme="1"/>
        <rFont val="Calibri"/>
        <family val="2"/>
      </rPr>
      <t>90%</t>
    </r>
    <r>
      <rPr>
        <sz val="11"/>
        <color theme="1"/>
        <rFont val="Calibri"/>
        <family val="2"/>
      </rPr>
      <t xml:space="preserve"> (target grade)</t>
    </r>
  </si>
  <si>
    <r>
      <t xml:space="preserve">5. By changing cell: </t>
    </r>
    <r>
      <rPr>
        <b/>
        <sz val="11"/>
        <color theme="1"/>
        <rFont val="Calibri"/>
        <family val="2"/>
      </rPr>
      <t xml:space="preserve">C22 </t>
    </r>
    <r>
      <rPr>
        <sz val="11"/>
        <color theme="1"/>
        <rFont val="Calibri"/>
        <family val="2"/>
      </rPr>
      <t>(final exam grade)</t>
    </r>
  </si>
  <si>
    <r>
      <t xml:space="preserve">      </t>
    </r>
    <r>
      <rPr>
        <sz val="11"/>
        <color theme="1"/>
        <rFont val="Calibri"/>
        <family val="2"/>
      </rPr>
      <t>- A client wants to take out a $400,000 mortgage for 30 years</t>
    </r>
  </si>
  <si>
    <t>SOLVER</t>
  </si>
  <si>
    <t># of Policies</t>
  </si>
  <si>
    <r>
      <t xml:space="preserve">      </t>
    </r>
    <r>
      <rPr>
        <sz val="11"/>
        <color theme="1"/>
        <rFont val="Calibri"/>
        <family val="2"/>
      </rPr>
      <t xml:space="preserve">- We want to find how many policies need to be sold at achieve a target profit of $10,000. </t>
    </r>
  </si>
  <si>
    <t>1. Open the Solver window.</t>
  </si>
  <si>
    <t>4. Add constraints:</t>
  </si>
  <si>
    <t>5. Click 'Solve' and observe the results.</t>
  </si>
  <si>
    <t>Steps for using Solver</t>
  </si>
  <si>
    <t>1. Alter the constraints, such as changing the maximum number of units or adjusting the price range, to see how the maximum profit and strategy change.</t>
  </si>
  <si>
    <t>2. Try setting a minimum profit goal and use Solver to determine if it's possible within the constraints and what conditions must be met to achieve it.</t>
  </si>
  <si>
    <t>Region</t>
  </si>
  <si>
    <t>West</t>
  </si>
  <si>
    <t>South</t>
  </si>
  <si>
    <t>East</t>
  </si>
  <si>
    <t>ExpiryDate</t>
  </si>
  <si>
    <t>VehicleMake</t>
  </si>
  <si>
    <t>ClaimFiled_Last5Yrs</t>
  </si>
  <si>
    <t>AntiTheftDevice</t>
  </si>
  <si>
    <t>Accident_Last3Yrs</t>
  </si>
  <si>
    <t>Toyota</t>
  </si>
  <si>
    <t>N</t>
  </si>
  <si>
    <t>Y</t>
  </si>
  <si>
    <t>Honda</t>
  </si>
  <si>
    <t>Ford</t>
  </si>
  <si>
    <t>Midwest</t>
  </si>
  <si>
    <t>Chevrolet</t>
  </si>
  <si>
    <t>BMW</t>
  </si>
  <si>
    <t>Nissan</t>
  </si>
  <si>
    <t>Jeep</t>
  </si>
  <si>
    <t>Mercedes</t>
  </si>
  <si>
    <t>Subaru</t>
  </si>
  <si>
    <t>Kia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</si>
  <si>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</si>
  <si>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</si>
  <si>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</si>
  <si>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</si>
  <si>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</si>
  <si>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</si>
  <si>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</si>
  <si>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</si>
  <si>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</si>
  <si>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</si>
  <si>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A10021</t>
  </si>
  <si>
    <t>A10022</t>
  </si>
  <si>
    <t>A10023</t>
  </si>
  <si>
    <t>A10024</t>
  </si>
  <si>
    <t>A10025</t>
  </si>
  <si>
    <t>A10026</t>
  </si>
  <si>
    <t>A10027</t>
  </si>
  <si>
    <t>A10028</t>
  </si>
  <si>
    <t>A10029</t>
  </si>
  <si>
    <t>A10030</t>
  </si>
  <si>
    <t>A10031</t>
  </si>
  <si>
    <t>A10032</t>
  </si>
  <si>
    <t>A10033</t>
  </si>
  <si>
    <t>A10034</t>
  </si>
  <si>
    <t>A10035</t>
  </si>
  <si>
    <t>A10036</t>
  </si>
  <si>
    <t>A10037</t>
  </si>
  <si>
    <t>A10038</t>
  </si>
  <si>
    <t>A10039</t>
  </si>
  <si>
    <t>A10040</t>
  </si>
  <si>
    <t>A10041</t>
  </si>
  <si>
    <t>A10042</t>
  </si>
  <si>
    <t>A10043</t>
  </si>
  <si>
    <t>A10044</t>
  </si>
  <si>
    <t>A10045</t>
  </si>
  <si>
    <t>A10046</t>
  </si>
  <si>
    <t>A10047</t>
  </si>
  <si>
    <t>A10048</t>
  </si>
  <si>
    <t>A10049</t>
  </si>
  <si>
    <t>A10050</t>
  </si>
  <si>
    <t>A10051</t>
  </si>
  <si>
    <t>A10052</t>
  </si>
  <si>
    <t>A10053</t>
  </si>
  <si>
    <t>A10054</t>
  </si>
  <si>
    <t>A10055</t>
  </si>
  <si>
    <t>A10056</t>
  </si>
  <si>
    <t>A10057</t>
  </si>
  <si>
    <t>A10058</t>
  </si>
  <si>
    <t>A10059</t>
  </si>
  <si>
    <t>A10060</t>
  </si>
  <si>
    <t>A10061</t>
  </si>
  <si>
    <t>A10062</t>
  </si>
  <si>
    <t>A10063</t>
  </si>
  <si>
    <t>A10064</t>
  </si>
  <si>
    <t>A10065</t>
  </si>
  <si>
    <t>A10066</t>
  </si>
  <si>
    <t>A10067</t>
  </si>
  <si>
    <t>A10068</t>
  </si>
  <si>
    <t>A10069</t>
  </si>
  <si>
    <t>A10070</t>
  </si>
  <si>
    <t>A10071</t>
  </si>
  <si>
    <t>A10072</t>
  </si>
  <si>
    <t>A10073</t>
  </si>
  <si>
    <t>A10074</t>
  </si>
  <si>
    <t>A10075</t>
  </si>
  <si>
    <t>A10076</t>
  </si>
  <si>
    <t>A10077</t>
  </si>
  <si>
    <t>A10078</t>
  </si>
  <si>
    <t>A10079</t>
  </si>
  <si>
    <t>A10080</t>
  </si>
  <si>
    <t>A10081</t>
  </si>
  <si>
    <t>A10082</t>
  </si>
  <si>
    <t>A10083</t>
  </si>
  <si>
    <t>A10084</t>
  </si>
  <si>
    <t>A10085</t>
  </si>
  <si>
    <t>A10086</t>
  </si>
  <si>
    <t>A10087</t>
  </si>
  <si>
    <t>A10088</t>
  </si>
  <si>
    <t>A10089</t>
  </si>
  <si>
    <t>A10090</t>
  </si>
  <si>
    <t>A10091</t>
  </si>
  <si>
    <t>A10092</t>
  </si>
  <si>
    <t>A10093</t>
  </si>
  <si>
    <t>A10094</t>
  </si>
  <si>
    <t>A10095</t>
  </si>
  <si>
    <t>A10096</t>
  </si>
  <si>
    <t>A10097</t>
  </si>
  <si>
    <t>A10098</t>
  </si>
  <si>
    <t>A10099</t>
  </si>
  <si>
    <t>A10100</t>
  </si>
  <si>
    <t>A10101</t>
  </si>
  <si>
    <t>A10102</t>
  </si>
  <si>
    <t>A10103</t>
  </si>
  <si>
    <t>A10104</t>
  </si>
  <si>
    <t>A10105</t>
  </si>
  <si>
    <t>A10106</t>
  </si>
  <si>
    <t>A10107</t>
  </si>
  <si>
    <t>A10108</t>
  </si>
  <si>
    <t>A10109</t>
  </si>
  <si>
    <t>A10110</t>
  </si>
  <si>
    <t>A10111</t>
  </si>
  <si>
    <t>A10112</t>
  </si>
  <si>
    <t>A10113</t>
  </si>
  <si>
    <t>A10114</t>
  </si>
  <si>
    <t>A10115</t>
  </si>
  <si>
    <t>A10116</t>
  </si>
  <si>
    <t>A10117</t>
  </si>
  <si>
    <t>A10118</t>
  </si>
  <si>
    <t>A10119</t>
  </si>
  <si>
    <t>A10120</t>
  </si>
  <si>
    <t>A10121</t>
  </si>
  <si>
    <t>A10122</t>
  </si>
  <si>
    <t>A10123</t>
  </si>
  <si>
    <t>A10124</t>
  </si>
  <si>
    <t>A10125</t>
  </si>
  <si>
    <t>A10126</t>
  </si>
  <si>
    <t>A10127</t>
  </si>
  <si>
    <t>A10128</t>
  </si>
  <si>
    <t>A10129</t>
  </si>
  <si>
    <t>A10130</t>
  </si>
  <si>
    <t>A10131</t>
  </si>
  <si>
    <t>A10132</t>
  </si>
  <si>
    <t>A10133</t>
  </si>
  <si>
    <t>A10134</t>
  </si>
  <si>
    <t>A10135</t>
  </si>
  <si>
    <t>A10136</t>
  </si>
  <si>
    <t>A10137</t>
  </si>
  <si>
    <t>A10138</t>
  </si>
  <si>
    <t>A10139</t>
  </si>
  <si>
    <t>A10140</t>
  </si>
  <si>
    <t>A10141</t>
  </si>
  <si>
    <t>A10142</t>
  </si>
  <si>
    <t>A10143</t>
  </si>
  <si>
    <t>A10144</t>
  </si>
  <si>
    <t>A10145</t>
  </si>
  <si>
    <t>A10146</t>
  </si>
  <si>
    <t>A10147</t>
  </si>
  <si>
    <t>A10148</t>
  </si>
  <si>
    <t>A10149</t>
  </si>
  <si>
    <t>A10150</t>
  </si>
  <si>
    <t>A10151</t>
  </si>
  <si>
    <t>A10152</t>
  </si>
  <si>
    <t>A10153</t>
  </si>
  <si>
    <t>A10154</t>
  </si>
  <si>
    <t>A10155</t>
  </si>
  <si>
    <t>A10156</t>
  </si>
  <si>
    <t>A10157</t>
  </si>
  <si>
    <t>A10158</t>
  </si>
  <si>
    <t>A10159</t>
  </si>
  <si>
    <t>A10160</t>
  </si>
  <si>
    <t>A10161</t>
  </si>
  <si>
    <t>A10162</t>
  </si>
  <si>
    <t>A10163</t>
  </si>
  <si>
    <t>A10164</t>
  </si>
  <si>
    <t>A10165</t>
  </si>
  <si>
    <t>A10166</t>
  </si>
  <si>
    <t>A10167</t>
  </si>
  <si>
    <t>A10168</t>
  </si>
  <si>
    <t>A10169</t>
  </si>
  <si>
    <t>A10170</t>
  </si>
  <si>
    <t>A10171</t>
  </si>
  <si>
    <t>A10172</t>
  </si>
  <si>
    <t>A10173</t>
  </si>
  <si>
    <t>A10174</t>
  </si>
  <si>
    <t>A10175</t>
  </si>
  <si>
    <t>A10176</t>
  </si>
  <si>
    <t>A10177</t>
  </si>
  <si>
    <t>A10178</t>
  </si>
  <si>
    <t>A10179</t>
  </si>
  <si>
    <t>A10180</t>
  </si>
  <si>
    <t>A10181</t>
  </si>
  <si>
    <t>A10182</t>
  </si>
  <si>
    <t>A10183</t>
  </si>
  <si>
    <t>A10184</t>
  </si>
  <si>
    <t>A10185</t>
  </si>
  <si>
    <t>A10186</t>
  </si>
  <si>
    <t>A10187</t>
  </si>
  <si>
    <t>A10188</t>
  </si>
  <si>
    <t>A10189</t>
  </si>
  <si>
    <t>A10190</t>
  </si>
  <si>
    <t>A10191</t>
  </si>
  <si>
    <t>A10192</t>
  </si>
  <si>
    <t>A10193</t>
  </si>
  <si>
    <t>A10194</t>
  </si>
  <si>
    <t>A10195</t>
  </si>
  <si>
    <t>A10196</t>
  </si>
  <si>
    <t>A10197</t>
  </si>
  <si>
    <t>A10198</t>
  </si>
  <si>
    <t>A10199</t>
  </si>
  <si>
    <t>A10200</t>
  </si>
  <si>
    <t>A10201</t>
  </si>
  <si>
    <t>A10202</t>
  </si>
  <si>
    <t>A10203</t>
  </si>
  <si>
    <t>A10204</t>
  </si>
  <si>
    <t>A10205</t>
  </si>
  <si>
    <t>A10206</t>
  </si>
  <si>
    <t>A10207</t>
  </si>
  <si>
    <t>A10208</t>
  </si>
  <si>
    <t>A10209</t>
  </si>
  <si>
    <t>A10210</t>
  </si>
  <si>
    <t>A10211</t>
  </si>
  <si>
    <t>A10212</t>
  </si>
  <si>
    <t>A10213</t>
  </si>
  <si>
    <t>A10214</t>
  </si>
  <si>
    <t>A10215</t>
  </si>
  <si>
    <t>A10216</t>
  </si>
  <si>
    <t>A10217</t>
  </si>
  <si>
    <t>A10218</t>
  </si>
  <si>
    <t>A10219</t>
  </si>
  <si>
    <t>A10220</t>
  </si>
  <si>
    <t>A10221</t>
  </si>
  <si>
    <t>A10222</t>
  </si>
  <si>
    <t>A10223</t>
  </si>
  <si>
    <t>A10224</t>
  </si>
  <si>
    <t>A10225</t>
  </si>
  <si>
    <t>A10226</t>
  </si>
  <si>
    <t>A10227</t>
  </si>
  <si>
    <t>A10228</t>
  </si>
  <si>
    <t>A10229</t>
  </si>
  <si>
    <t>A10230</t>
  </si>
  <si>
    <t>A10231</t>
  </si>
  <si>
    <t>A10232</t>
  </si>
  <si>
    <t>A10233</t>
  </si>
  <si>
    <t>A10234</t>
  </si>
  <si>
    <t>A10235</t>
  </si>
  <si>
    <t>A10236</t>
  </si>
  <si>
    <t>A10237</t>
  </si>
  <si>
    <t>A10238</t>
  </si>
  <si>
    <t>A10239</t>
  </si>
  <si>
    <t>A10240</t>
  </si>
  <si>
    <t>A10241</t>
  </si>
  <si>
    <t>A10242</t>
  </si>
  <si>
    <t>A10243</t>
  </si>
  <si>
    <t>A10244</t>
  </si>
  <si>
    <t>A10245</t>
  </si>
  <si>
    <t>A10246</t>
  </si>
  <si>
    <t>A10247</t>
  </si>
  <si>
    <t>A10248</t>
  </si>
  <si>
    <t>A10249</t>
  </si>
  <si>
    <t>A10250</t>
  </si>
  <si>
    <t>A10251</t>
  </si>
  <si>
    <t>A10252</t>
  </si>
  <si>
    <t>A10253</t>
  </si>
  <si>
    <t>A10254</t>
  </si>
  <si>
    <t>A10255</t>
  </si>
  <si>
    <t>A10256</t>
  </si>
  <si>
    <t>A10257</t>
  </si>
  <si>
    <t>A10258</t>
  </si>
  <si>
    <t>A10259</t>
  </si>
  <si>
    <t>A10260</t>
  </si>
  <si>
    <t>A10261</t>
  </si>
  <si>
    <t>A10262</t>
  </si>
  <si>
    <t>A10263</t>
  </si>
  <si>
    <t>A10264</t>
  </si>
  <si>
    <t>A10265</t>
  </si>
  <si>
    <t>A10266</t>
  </si>
  <si>
    <t>A10267</t>
  </si>
  <si>
    <t>A10268</t>
  </si>
  <si>
    <t>A10269</t>
  </si>
  <si>
    <t>A10270</t>
  </si>
  <si>
    <t>A10271</t>
  </si>
  <si>
    <t>A10272</t>
  </si>
  <si>
    <t>A10273</t>
  </si>
  <si>
    <t>A10274</t>
  </si>
  <si>
    <t>A10275</t>
  </si>
  <si>
    <t>A10276</t>
  </si>
  <si>
    <t>A10277</t>
  </si>
  <si>
    <t>A10278</t>
  </si>
  <si>
    <t>A10279</t>
  </si>
  <si>
    <t>A10280</t>
  </si>
  <si>
    <t>A10281</t>
  </si>
  <si>
    <t>A10282</t>
  </si>
  <si>
    <t>A10283</t>
  </si>
  <si>
    <t>A10284</t>
  </si>
  <si>
    <t>A10285</t>
  </si>
  <si>
    <t>A10286</t>
  </si>
  <si>
    <t>A10287</t>
  </si>
  <si>
    <t>A10288</t>
  </si>
  <si>
    <t>A10289</t>
  </si>
  <si>
    <t>A10290</t>
  </si>
  <si>
    <t>A10291</t>
  </si>
  <si>
    <t>A10292</t>
  </si>
  <si>
    <t>A10293</t>
  </si>
  <si>
    <t>A10294</t>
  </si>
  <si>
    <t>A10295</t>
  </si>
  <si>
    <t>A10296</t>
  </si>
  <si>
    <t>A10297</t>
  </si>
  <si>
    <t>A10298</t>
  </si>
  <si>
    <t>A10299</t>
  </si>
  <si>
    <t>A10300</t>
  </si>
  <si>
    <t>A10301</t>
  </si>
  <si>
    <t>A10302</t>
  </si>
  <si>
    <t>A10303</t>
  </si>
  <si>
    <t>A10304</t>
  </si>
  <si>
    <t>A10305</t>
  </si>
  <si>
    <t>A10306</t>
  </si>
  <si>
    <t>A10307</t>
  </si>
  <si>
    <t>A10308</t>
  </si>
  <si>
    <t>A10309</t>
  </si>
  <si>
    <t>A10310</t>
  </si>
  <si>
    <t>A10311</t>
  </si>
  <si>
    <t>A10312</t>
  </si>
  <si>
    <t>A10313</t>
  </si>
  <si>
    <t>A10314</t>
  </si>
  <si>
    <t>A10315</t>
  </si>
  <si>
    <t>A10316</t>
  </si>
  <si>
    <t>A10317</t>
  </si>
  <si>
    <t>A10318</t>
  </si>
  <si>
    <t>A10319</t>
  </si>
  <si>
    <t>A10320</t>
  </si>
  <si>
    <t>A10321</t>
  </si>
  <si>
    <t>A10322</t>
  </si>
  <si>
    <t>A10323</t>
  </si>
  <si>
    <t>A10324</t>
  </si>
  <si>
    <t>A10325</t>
  </si>
  <si>
    <t>A10326</t>
  </si>
  <si>
    <t>A10327</t>
  </si>
  <si>
    <t>A10328</t>
  </si>
  <si>
    <t>A10329</t>
  </si>
  <si>
    <t>A10330</t>
  </si>
  <si>
    <t>A10331</t>
  </si>
  <si>
    <t>A10332</t>
  </si>
  <si>
    <t>A10333</t>
  </si>
  <si>
    <t>A10334</t>
  </si>
  <si>
    <t>A10335</t>
  </si>
  <si>
    <t>A10336</t>
  </si>
  <si>
    <t>A10337</t>
  </si>
  <si>
    <t>A10338</t>
  </si>
  <si>
    <t>A10339</t>
  </si>
  <si>
    <t>A10340</t>
  </si>
  <si>
    <t>A10341</t>
  </si>
  <si>
    <t>A10342</t>
  </si>
  <si>
    <t>A10343</t>
  </si>
  <si>
    <t>A10344</t>
  </si>
  <si>
    <t>A10345</t>
  </si>
  <si>
    <t>A10346</t>
  </si>
  <si>
    <t>A10347</t>
  </si>
  <si>
    <t>A10348</t>
  </si>
  <si>
    <t>A10349</t>
  </si>
  <si>
    <t>A10350</t>
  </si>
  <si>
    <t>A10351</t>
  </si>
  <si>
    <t>A10352</t>
  </si>
  <si>
    <t>A10353</t>
  </si>
  <si>
    <t>A10354</t>
  </si>
  <si>
    <t>A10355</t>
  </si>
  <si>
    <t>A10356</t>
  </si>
  <si>
    <t>A10357</t>
  </si>
  <si>
    <t>A10358</t>
  </si>
  <si>
    <t>A10359</t>
  </si>
  <si>
    <t>A10360</t>
  </si>
  <si>
    <t>A10361</t>
  </si>
  <si>
    <t>A10362</t>
  </si>
  <si>
    <t>A10363</t>
  </si>
  <si>
    <t>A10364</t>
  </si>
  <si>
    <t>A10365</t>
  </si>
  <si>
    <t>A10366</t>
  </si>
  <si>
    <t>A10367</t>
  </si>
  <si>
    <t>A10368</t>
  </si>
  <si>
    <t>A10369</t>
  </si>
  <si>
    <t>A10370</t>
  </si>
  <si>
    <t>A10371</t>
  </si>
  <si>
    <t>A10372</t>
  </si>
  <si>
    <t>A10373</t>
  </si>
  <si>
    <t>A10374</t>
  </si>
  <si>
    <t>A10375</t>
  </si>
  <si>
    <t>A10376</t>
  </si>
  <si>
    <t>A10377</t>
  </si>
  <si>
    <t>A10378</t>
  </si>
  <si>
    <t>A10379</t>
  </si>
  <si>
    <t>A10380</t>
  </si>
  <si>
    <t>A10381</t>
  </si>
  <si>
    <t>A10382</t>
  </si>
  <si>
    <t>A10383</t>
  </si>
  <si>
    <t>A10384</t>
  </si>
  <si>
    <t>A10385</t>
  </si>
  <si>
    <t>A10386</t>
  </si>
  <si>
    <t>A10387</t>
  </si>
  <si>
    <t>A10388</t>
  </si>
  <si>
    <t>A10389</t>
  </si>
  <si>
    <t>A10390</t>
  </si>
  <si>
    <t>A10391</t>
  </si>
  <si>
    <t>A10392</t>
  </si>
  <si>
    <t>A10393</t>
  </si>
  <si>
    <t>A10394</t>
  </si>
  <si>
    <t>A10395</t>
  </si>
  <si>
    <t>A10396</t>
  </si>
  <si>
    <t>A10397</t>
  </si>
  <si>
    <t>A10398</t>
  </si>
  <si>
    <t>A10399</t>
  </si>
  <si>
    <t>A10400</t>
  </si>
  <si>
    <t>A10401</t>
  </si>
  <si>
    <t>A10402</t>
  </si>
  <si>
    <t>A10403</t>
  </si>
  <si>
    <t>A10404</t>
  </si>
  <si>
    <t>A10405</t>
  </si>
  <si>
    <t>A10406</t>
  </si>
  <si>
    <t>A10407</t>
  </si>
  <si>
    <t>A10408</t>
  </si>
  <si>
    <t>A10409</t>
  </si>
  <si>
    <t>A10410</t>
  </si>
  <si>
    <t>A10411</t>
  </si>
  <si>
    <t>A10412</t>
  </si>
  <si>
    <t>A10413</t>
  </si>
  <si>
    <t>A10414</t>
  </si>
  <si>
    <t>A10415</t>
  </si>
  <si>
    <t>A10416</t>
  </si>
  <si>
    <t>A10417</t>
  </si>
  <si>
    <t>A10418</t>
  </si>
  <si>
    <t>A10419</t>
  </si>
  <si>
    <t>A10420</t>
  </si>
  <si>
    <t>A10421</t>
  </si>
  <si>
    <t>A10422</t>
  </si>
  <si>
    <t>A10423</t>
  </si>
  <si>
    <t>A10424</t>
  </si>
  <si>
    <t>A10425</t>
  </si>
  <si>
    <t>A10426</t>
  </si>
  <si>
    <t>A10427</t>
  </si>
  <si>
    <t>A10428</t>
  </si>
  <si>
    <t>A10429</t>
  </si>
  <si>
    <t>A10430</t>
  </si>
  <si>
    <t>A10431</t>
  </si>
  <si>
    <t>A10432</t>
  </si>
  <si>
    <t>A10433</t>
  </si>
  <si>
    <t>A10434</t>
  </si>
  <si>
    <t>A10435</t>
  </si>
  <si>
    <t>A10436</t>
  </si>
  <si>
    <t>A10437</t>
  </si>
  <si>
    <t>A10438</t>
  </si>
  <si>
    <t>A10439</t>
  </si>
  <si>
    <t>A10440</t>
  </si>
  <si>
    <t>A10441</t>
  </si>
  <si>
    <t>A10442</t>
  </si>
  <si>
    <t>A10443</t>
  </si>
  <si>
    <t>A10444</t>
  </si>
  <si>
    <t>A10445</t>
  </si>
  <si>
    <t>A10446</t>
  </si>
  <si>
    <t>A10447</t>
  </si>
  <si>
    <t>A10448</t>
  </si>
  <si>
    <t>A10449</t>
  </si>
  <si>
    <t>A10450</t>
  </si>
  <si>
    <t>A10451</t>
  </si>
  <si>
    <t>A10452</t>
  </si>
  <si>
    <t>A10453</t>
  </si>
  <si>
    <t>A10454</t>
  </si>
  <si>
    <t>A10455</t>
  </si>
  <si>
    <t>A10456</t>
  </si>
  <si>
    <t>A10457</t>
  </si>
  <si>
    <t>A10458</t>
  </si>
  <si>
    <t>A10459</t>
  </si>
  <si>
    <t>A10460</t>
  </si>
  <si>
    <t>A10461</t>
  </si>
  <si>
    <t>A10462</t>
  </si>
  <si>
    <t>A10463</t>
  </si>
  <si>
    <t>A10464</t>
  </si>
  <si>
    <t>A10465</t>
  </si>
  <si>
    <t>A10466</t>
  </si>
  <si>
    <t>A10467</t>
  </si>
  <si>
    <t>A10468</t>
  </si>
  <si>
    <t>A10469</t>
  </si>
  <si>
    <t>A10470</t>
  </si>
  <si>
    <t>A10471</t>
  </si>
  <si>
    <t>A10472</t>
  </si>
  <si>
    <t>A10473</t>
  </si>
  <si>
    <t>A10474</t>
  </si>
  <si>
    <t>A10475</t>
  </si>
  <si>
    <t>A10476</t>
  </si>
  <si>
    <t>A10477</t>
  </si>
  <si>
    <t>A10478</t>
  </si>
  <si>
    <t>A10479</t>
  </si>
  <si>
    <t>A10480</t>
  </si>
  <si>
    <t>A10481</t>
  </si>
  <si>
    <t>A10482</t>
  </si>
  <si>
    <t>A10483</t>
  </si>
  <si>
    <t>A10484</t>
  </si>
  <si>
    <t>A10485</t>
  </si>
  <si>
    <t>A10486</t>
  </si>
  <si>
    <t>A10487</t>
  </si>
  <si>
    <t>A10488</t>
  </si>
  <si>
    <t>A10489</t>
  </si>
  <si>
    <t>A10490</t>
  </si>
  <si>
    <t>A10491</t>
  </si>
  <si>
    <t>A10492</t>
  </si>
  <si>
    <t>A10493</t>
  </si>
  <si>
    <t>A10494</t>
  </si>
  <si>
    <t>A10495</t>
  </si>
  <si>
    <t>A10496</t>
  </si>
  <si>
    <t>A10497</t>
  </si>
  <si>
    <t>A10498</t>
  </si>
  <si>
    <t>A10499</t>
  </si>
  <si>
    <t>A10500</t>
  </si>
  <si>
    <t>PIVOT TABLE</t>
  </si>
  <si>
    <t>When you need to summarize large datasets, perform quick calculations (like sums, averages, or counts), and analyze data to find patterns and trends.</t>
  </si>
  <si>
    <r>
      <t xml:space="preserve">PivotTable can be found when you select the data and navigate to the </t>
    </r>
    <r>
      <rPr>
        <b/>
        <sz val="11"/>
        <color theme="1"/>
        <rFont val="Calibri"/>
        <family val="2"/>
      </rPr>
      <t>insert tab</t>
    </r>
    <r>
      <rPr>
        <sz val="11"/>
        <color theme="1"/>
        <rFont val="Calibri"/>
        <family val="2"/>
      </rPr>
      <t>.</t>
    </r>
  </si>
  <si>
    <t xml:space="preserve">A pivot table (or PivotTable) is a powerful tool to calculate, summarize, and analyze data that lets you see comparsions, patterns and trends in your data. </t>
  </si>
  <si>
    <t>1. Highlight the cells/data you want to create a pivot table from</t>
  </si>
  <si>
    <t>3. This would create a pivot table based on an existing table or range</t>
  </si>
  <si>
    <t>1. Click on any cell within the table to re-access the editing window/PivotTable fields (works most of the time)</t>
  </si>
  <si>
    <r>
      <t xml:space="preserve">2. If the PivotTable fields don't appear, you may need to manually reenable them by clicking on the table &gt; </t>
    </r>
    <r>
      <rPr>
        <b/>
        <sz val="11"/>
        <color theme="1"/>
        <rFont val="Calibri"/>
        <family val="2"/>
      </rPr>
      <t xml:space="preserve">PivotTable Analyze &gt; Field List  </t>
    </r>
  </si>
  <si>
    <r>
      <rPr>
        <sz val="11"/>
        <color theme="1"/>
        <rFont val="Calibri"/>
        <family val="2"/>
      </rPr>
      <t xml:space="preserve">2. Select </t>
    </r>
    <r>
      <rPr>
        <b/>
        <sz val="11"/>
        <color theme="1"/>
        <rFont val="Calibri"/>
        <family val="2"/>
      </rPr>
      <t>Insert &gt; Table &gt; PivotTable &gt; From Table/Range</t>
    </r>
  </si>
  <si>
    <t>How to edit an existing PivotTable:</t>
  </si>
  <si>
    <t>Steps for creating a PivotTable</t>
  </si>
  <si>
    <r>
      <t xml:space="preserve">Example: </t>
    </r>
    <r>
      <rPr>
        <sz val="11"/>
        <color theme="1"/>
        <rFont val="Calibri"/>
        <family val="2"/>
      </rPr>
      <t>Create a PivotTable that displays the total annual premium written for each region.</t>
    </r>
  </si>
  <si>
    <t>1. Insert a PivotTable from the Data tab below.</t>
  </si>
  <si>
    <r>
      <t xml:space="preserve">2. On the PivotTable fields, select </t>
    </r>
    <r>
      <rPr>
        <b/>
        <sz val="11"/>
        <color theme="1"/>
        <rFont val="Calibri"/>
        <family val="2"/>
      </rPr>
      <t xml:space="preserve">Region </t>
    </r>
    <r>
      <rPr>
        <sz val="11"/>
        <color theme="1"/>
        <rFont val="Calibri"/>
        <family val="2"/>
      </rPr>
      <t xml:space="preserve">and drag into </t>
    </r>
    <r>
      <rPr>
        <b/>
        <sz val="11"/>
        <color theme="1"/>
        <rFont val="Calibri"/>
        <family val="2"/>
      </rPr>
      <t>Rows</t>
    </r>
    <r>
      <rPr>
        <sz val="11"/>
        <color theme="1"/>
        <rFont val="Calibri"/>
        <family val="2"/>
      </rPr>
      <t xml:space="preserve"> (should automatically do it)</t>
    </r>
  </si>
  <si>
    <r>
      <t xml:space="preserve">3. Select </t>
    </r>
    <r>
      <rPr>
        <b/>
        <sz val="11"/>
        <color theme="1"/>
        <rFont val="Calibri"/>
        <family val="2"/>
      </rPr>
      <t>AnnualPremium</t>
    </r>
    <r>
      <rPr>
        <sz val="11"/>
        <color theme="1"/>
        <rFont val="Calibri"/>
        <family val="2"/>
      </rPr>
      <t xml:space="preserve">, drag into </t>
    </r>
    <r>
      <rPr>
        <b/>
        <sz val="11"/>
        <color theme="1"/>
        <rFont val="Calibri"/>
        <family val="2"/>
      </rPr>
      <t>Values</t>
    </r>
    <r>
      <rPr>
        <sz val="11"/>
        <color theme="1"/>
        <rFont val="Calibri"/>
        <family val="2"/>
      </rPr>
      <t xml:space="preserve">, and click on </t>
    </r>
    <r>
      <rPr>
        <b/>
        <sz val="11"/>
        <color theme="1"/>
        <rFont val="Calibri"/>
        <family val="2"/>
      </rPr>
      <t xml:space="preserve">AnnualPremium &gt; Value Field Settings &gt; Sum </t>
    </r>
    <r>
      <rPr>
        <sz val="11"/>
        <color theme="1"/>
        <rFont val="Calibri"/>
        <family val="2"/>
      </rPr>
      <t>(under "Summarize value field by")</t>
    </r>
  </si>
  <si>
    <r>
      <t xml:space="preserve">4. (Optional) For </t>
    </r>
    <r>
      <rPr>
        <b/>
        <sz val="11"/>
        <color theme="1"/>
        <rFont val="Calibri"/>
        <family val="2"/>
      </rPr>
      <t>formatting</t>
    </r>
    <r>
      <rPr>
        <sz val="11"/>
        <color theme="1"/>
        <rFont val="Calibri"/>
        <family val="2"/>
      </rPr>
      <t xml:space="preserve"> improvements, rename the "Row Labels" column header as "Region", and format the sums as currency amounts by going to the PivotTable Fields and clicking on </t>
    </r>
    <r>
      <rPr>
        <b/>
        <sz val="11"/>
        <color theme="1"/>
        <rFont val="Calibri"/>
        <family val="2"/>
      </rPr>
      <t>Sum of AnnualPremium &gt; Value Field Settings &gt; Number Format &gt; Currency</t>
    </r>
  </si>
  <si>
    <t>BASIC ANALYSIS</t>
  </si>
  <si>
    <t>GROUPING</t>
  </si>
  <si>
    <t>(PivotTable will go here)</t>
  </si>
  <si>
    <t>DATA VISUALIZATION</t>
  </si>
  <si>
    <t>Steps for creating data visuals from PivotTables</t>
  </si>
  <si>
    <t>1. Create a PivotTable to summarize the data</t>
  </si>
  <si>
    <r>
      <rPr>
        <sz val="11"/>
        <color theme="1"/>
        <rFont val="Calibri"/>
        <family val="2"/>
      </rPr>
      <t xml:space="preserve">2. With the table selected, go to </t>
    </r>
    <r>
      <rPr>
        <b/>
        <sz val="11"/>
        <color theme="1"/>
        <rFont val="Calibri"/>
        <family val="2"/>
      </rPr>
      <t>PivotTable Analyze &gt; PivotChart</t>
    </r>
  </si>
  <si>
    <t>3. Select the desired chart type</t>
  </si>
  <si>
    <t>4. Cleanly format the visual by editing axes/data labels, adding a title, choosing desirable colors and font styles/sizes, etc.</t>
  </si>
  <si>
    <t>1. Create a PivotTable to summarize the data by the desired information.</t>
  </si>
  <si>
    <t>2. With the table selected, insert a PivotChart (select an appropriate chart type).</t>
  </si>
  <si>
    <r>
      <t xml:space="preserve">Example: </t>
    </r>
    <r>
      <rPr>
        <sz val="11"/>
        <color theme="1"/>
        <rFont val="Calibri"/>
        <family val="2"/>
      </rPr>
      <t>Deduce the company's biggest exposure by visualizing the total premium per coverage type.</t>
    </r>
  </si>
  <si>
    <t>3. Click on the chart &gt; the green "+" (chart elements) &gt; Data Labels (this will add percentages of the pie for each coverage type).</t>
  </si>
  <si>
    <t>4. Explore other formatting options!</t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</si>
  <si>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Extract the Policy IDs in the column below.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</si>
  <si>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Extract the last names in the column below.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</si>
  <si>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Extract the first names in the column below.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</si>
  <si>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Using Goal Seek, find the exact interest rate that results in a $2,000 monthly payment.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</si>
  <si>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A new client wants to take out a $600,000 mortgage for 15 years. They are willing to pay up to $5,000 per month.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What is the highest interest rate the client could afford?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</si>
  <si>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Using the data from the previous sheet, insert a PivotTable in the highlighted cell below.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</si>
  <si>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Create a PivotTable that displays the number of policies by coverage type, and the average annual premium for each.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</si>
  <si>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Show a breakdown of coverage type by region, with the total premium for each combination.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</si>
  <si>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 xml:space="preserve">Show how many policies are set to expire each quarter and month of 2026. (Hint: Dragging ExpiryDate into Rows should automatically group dates by month, quarter, and year. If not, you can double click on one of the dates and select </t>
    </r>
    <r>
      <rPr>
        <b/>
        <sz val="11"/>
        <color theme="1"/>
        <rFont val="Calibri"/>
        <family val="2"/>
      </rPr>
      <t>Group</t>
    </r>
    <r>
      <rPr>
        <sz val="11"/>
        <color theme="1"/>
        <rFont val="Calibri"/>
        <family val="2"/>
      </rPr>
      <t>, and select years, quarters, and months.)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</si>
  <si>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Show the average annual premium per 10-year age bracket.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</si>
  <si>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: </t>
    </r>
    <r>
      <rPr>
        <sz val="11"/>
        <color theme="1"/>
        <rFont val="Calibri"/>
        <family val="2"/>
      </rPr>
      <t>Display the average annual premium per each 3-year bracket of vehicle year (i.e. 2015-2017, 2018-2020, 2021-2023, 2024-2026).</t>
    </r>
  </si>
  <si>
    <t>When the desired outcome of a formula is known but not the input value needed to achieve it.</t>
  </si>
  <si>
    <t>A more powerful version of Goal Seek that can optimize with constraints.</t>
  </si>
  <si>
    <r>
      <rPr>
        <b/>
        <sz val="11"/>
        <color theme="1"/>
        <rFont val="Calibri"/>
        <family val="2"/>
      </rPr>
      <t>After</t>
    </r>
    <r>
      <rPr>
        <sz val="11"/>
        <color theme="1"/>
        <rFont val="Calibri"/>
        <family val="2"/>
      </rPr>
      <t xml:space="preserve"> loading the Solver add-in, Solver can be found under </t>
    </r>
    <r>
      <rPr>
        <b/>
        <sz val="11"/>
        <color theme="1"/>
        <rFont val="Calibri"/>
        <family val="2"/>
      </rPr>
      <t>Data -&gt; Analyze.</t>
    </r>
  </si>
  <si>
    <t>For optimization problems to find the best possible outcome by changing multiple variables simultaneously, subject to a set of constraints.</t>
  </si>
  <si>
    <r>
      <t xml:space="preserve">Data Validation can be accessed from the </t>
    </r>
    <r>
      <rPr>
        <b/>
        <sz val="11"/>
        <color theme="1"/>
        <rFont val="Calibri"/>
        <family val="2"/>
      </rPr>
      <t>Data</t>
    </r>
    <r>
      <rPr>
        <sz val="11"/>
        <color theme="1"/>
        <rFont val="Calibri"/>
        <family val="2"/>
      </rPr>
      <t xml:space="preserve"> tab on the Ribbon, under the </t>
    </r>
    <r>
      <rPr>
        <b/>
        <sz val="11"/>
        <color theme="1"/>
        <rFont val="Calibri"/>
        <family val="2"/>
      </rPr>
      <t>Data Tools</t>
    </r>
    <r>
      <rPr>
        <sz val="11"/>
        <color theme="1"/>
        <rFont val="Calibri"/>
        <family val="2"/>
      </rPr>
      <t xml:space="preserve"> group.</t>
    </r>
  </si>
  <si>
    <t>• Data Validation</t>
  </si>
  <si>
    <t>• Text Functions</t>
  </si>
  <si>
    <t>• Goal Seek</t>
  </si>
  <si>
    <t>• Solver</t>
  </si>
  <si>
    <t>• PivotTable</t>
  </si>
  <si>
    <t>• Data Visualization</t>
  </si>
  <si>
    <t>• Data cleaning and analysis</t>
  </si>
  <si>
    <t>EXERCISE</t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</si>
  <si>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 (Combo Chart): </t>
    </r>
    <r>
      <rPr>
        <sz val="11"/>
        <color theme="1"/>
        <rFont val="Calibri"/>
        <family val="2"/>
      </rPr>
      <t>Visualize the total premium and average premium by region.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</si>
  <si>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 (Bar Chart from Grouped Data): </t>
    </r>
    <r>
      <rPr>
        <sz val="11"/>
        <color theme="1"/>
        <rFont val="Calibri"/>
        <family val="2"/>
      </rPr>
      <t>Explore how driver age affects the premium by visualizing the average premium per 10-year age bracket (starting with 20-29).</t>
    </r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</si>
  <si>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 xml:space="preserve"> (Scatter Plot): </t>
    </r>
    <r>
      <rPr>
        <sz val="11"/>
        <color theme="1"/>
        <rFont val="Calibri"/>
        <family val="2"/>
      </rPr>
      <t xml:space="preserve">Explore the relationship between vehicle year and the annual premium using a scatter plot. (Hint: As for any correlation analysis between variables, this is performed using a </t>
    </r>
    <r>
      <rPr>
        <b/>
        <sz val="11"/>
        <color theme="1"/>
        <rFont val="Calibri"/>
        <family val="2"/>
      </rPr>
      <t>standard chart</t>
    </r>
    <r>
      <rPr>
        <sz val="11"/>
        <color theme="1"/>
        <rFont val="Calibri"/>
        <family val="2"/>
      </rPr>
      <t xml:space="preserve"> and the </t>
    </r>
    <r>
      <rPr>
        <b/>
        <sz val="11"/>
        <color theme="1"/>
        <rFont val="Calibri"/>
        <family val="2"/>
      </rPr>
      <t>raw data</t>
    </r>
    <r>
      <rPr>
        <sz val="11"/>
        <color theme="1"/>
        <rFont val="Calibri"/>
        <family val="2"/>
      </rPr>
      <t>).</t>
    </r>
  </si>
  <si>
    <t>4. Highlight the cells under "Line of Business" (C80:C89).</t>
  </si>
  <si>
    <t>6. Highlight the cells under "Coverage Type" (D80:D89).</t>
  </si>
  <si>
    <r>
      <t xml:space="preserve">7. Go to data validation, choose list, and for the source, enter </t>
    </r>
    <r>
      <rPr>
        <b/>
        <sz val="11"/>
        <color theme="1"/>
        <rFont val="Calibri"/>
        <family val="2"/>
      </rPr>
      <t>=INDIRECT(C80)</t>
    </r>
    <r>
      <rPr>
        <sz val="11"/>
        <color theme="1"/>
        <rFont val="Calibri"/>
        <family val="2"/>
      </rPr>
      <t>.</t>
    </r>
  </si>
  <si>
    <t xml:space="preserve">      - ex. If C80 = Auto, the function will look for the named range "Auto"; if C80 = Home, the function will look for the named range "Home".</t>
  </si>
  <si>
    <t>[Smith, Jeremiah], Pol: 10001</t>
  </si>
  <si>
    <t>[De Rosso, Ana], Pol: 10002</t>
  </si>
  <si>
    <t>[Lee, David], Pol: 10003</t>
  </si>
  <si>
    <t>[Thomson, Aidan], Pol: 10004</t>
  </si>
  <si>
    <t>[Bradley, Gabriel], Pol: 10005</t>
  </si>
  <si>
    <t>[Richardson, Paige], Pol: 10006</t>
  </si>
  <si>
    <t>[McBride, Kash], Pol: 10007</t>
  </si>
  <si>
    <t>[Shaffer, Karla], Pol: 10008</t>
  </si>
  <si>
    <t>[Watts, Chloe], Pol: 10009</t>
  </si>
  <si>
    <t>[Armstrong, Logan], Pol: 10010</t>
  </si>
  <si>
    <r>
      <rPr>
        <b/>
        <u/>
        <sz val="11"/>
        <color theme="1"/>
        <rFont val="Calibri"/>
        <family val="2"/>
      </rPr>
      <t>Practice</t>
    </r>
    <r>
      <rPr>
        <b/>
        <sz val="11"/>
        <color theme="1"/>
        <rFont val="Calibri"/>
        <family val="2"/>
      </rPr>
      <t>:</t>
    </r>
  </si>
  <si>
    <t>2. Set the objective to cell C18 (Profit cell) and choose 'Max' to maximize the profit.</t>
  </si>
  <si>
    <t xml:space="preserve">      - C14 (# of Policies) &lt;= 200 (maximum units due to constraints).</t>
  </si>
  <si>
    <t xml:space="preserve">      - C15 (Price per Policy) &gt;= $40 (minimum competitive price).</t>
  </si>
  <si>
    <t xml:space="preserve">      - C15 (Price per Policy) &lt;= $60 (maximum competitive price).</t>
  </si>
  <si>
    <t>3. In the 'Variables' box, add C14 (# of Policies cell) and optionally C15 (Price per Unit cell) if you want Solver to adjust the price as well.</t>
  </si>
  <si>
    <t>XFD1048576</t>
  </si>
  <si>
    <t>1. Max profit of $10,000</t>
  </si>
  <si>
    <t>Row Labels</t>
  </si>
  <si>
    <t>Grand Total</t>
  </si>
  <si>
    <t>Sum of AnnualPremium</t>
  </si>
  <si>
    <t>Column Labels</t>
  </si>
  <si>
    <t>1. No. of policies and average annual premium by coverage type</t>
  </si>
  <si>
    <t>ClaimFiled_Last5Yrs_Dummy</t>
  </si>
  <si>
    <t>*Table shows regional differences among annual premiums</t>
  </si>
  <si>
    <t>Region_East_dummy</t>
  </si>
  <si>
    <r>
      <t xml:space="preserve">2. </t>
    </r>
    <r>
      <rPr>
        <b/>
        <sz val="11"/>
        <color rgb="FFFF0000"/>
        <rFont val="Aptos Narrow"/>
        <scheme val="minor"/>
      </rPr>
      <t>Coverage type</t>
    </r>
    <r>
      <rPr>
        <sz val="11"/>
        <color rgb="FFFF0000"/>
        <rFont val="Aptos Narrow"/>
        <family val="2"/>
        <scheme val="minor"/>
      </rPr>
      <t xml:space="preserve"> by </t>
    </r>
    <r>
      <rPr>
        <b/>
        <sz val="11"/>
        <color rgb="FFFF0000"/>
        <rFont val="Aptos Narrow"/>
        <scheme val="minor"/>
      </rPr>
      <t>region</t>
    </r>
    <r>
      <rPr>
        <sz val="11"/>
        <color rgb="FFFF0000"/>
        <rFont val="Aptos Narrow"/>
        <family val="2"/>
        <scheme val="minor"/>
      </rPr>
      <t xml:space="preserve"> and total premium for each categories</t>
    </r>
  </si>
  <si>
    <t>3. Average annual premium per 10-year age bracket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</si>
  <si>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</si>
  <si>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</si>
  <si>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</si>
  <si>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</si>
  <si>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</si>
  <si>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</si>
  <si>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</si>
  <si>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</si>
  <si>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</si>
  <si>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Average of AnnualPremium</t>
  </si>
  <si>
    <t>4. Average annual premium per each 3-year bracket of vehicle year</t>
  </si>
  <si>
    <t>5. Policies set to expire each quarter and month in 2026</t>
  </si>
  <si>
    <t>2025</t>
  </si>
  <si>
    <t>2026</t>
  </si>
  <si>
    <t>Qtr1</t>
  </si>
  <si>
    <t>Qtr2</t>
  </si>
  <si>
    <t>Qtr3</t>
  </si>
  <si>
    <t>Qtr4</t>
  </si>
  <si>
    <t>Count of ExpiryDate</t>
  </si>
  <si>
    <t>1. Total and average premium by region</t>
  </si>
  <si>
    <t>Average of AnnualPremium2</t>
  </si>
  <si>
    <t>2. Averge premium by driver age group</t>
  </si>
  <si>
    <t>3. Scatterplot between vehicle year and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</si>
</sst>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0000000"/>
    <numFmt numFmtId="165" formatCode="0.000"/>
    <numFmt numFmtId="166" formatCode="0.0000%"/>
    <numFmt numFmtId="167" formatCode="0.000%"/>
    <numFmt numFmtId="168" formatCode="&quot;$&quot;#,##0"/>
  </numFmts>
  <fonts count="2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i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rgb="FF202124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0070C0"/>
      <name val="Calibri"/>
      <family val="2"/>
    </font>
    <font>
      <sz val="11"/>
      <color rgb="FF7030A0"/>
      <name val="Calibri"/>
      <family val="2"/>
    </font>
    <font>
      <sz val="11"/>
      <color rgb="FF000000"/>
      <name val="Calibri"/>
      <family val="2"/>
    </font>
    <font>
      <sz val="11"/>
      <color rgb="FF00B0F0"/>
      <name val="Calibri"/>
      <family val="2"/>
    </font>
    <font>
      <sz val="11"/>
      <color theme="5" tint="-0.249977111117893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u/>
      <sz val="11"/>
      <color theme="1"/>
      <name val="Calibri"/>
      <family val="2"/>
    </font>
    <font>
      <b/>
      <sz val="11"/>
      <color theme="8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ECF4FA"/>
        <bgColor indexed="64"/>
      </patternFill>
    </fill>
    <fill>
      <patternFill patternType="solid">
        <fgColor theme="5" tint="0.79998168889431442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6"/>
      </left>
      <right/>
      <top/>
      <bottom style="medium">
        <color indexed="64"/>
      </bottom>
      <diagonal/>
    </border>
    <border>
      <left/>
      <right style="thin">
        <color theme="6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6"/>
      </bottom>
      <diagonal/>
    </border>
    <border>
      <left/>
      <right/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theme="6"/>
      </bottom>
      <diagonal/>
    </border>
    <border>
      <left/>
      <right style="medium">
        <color indexed="64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medium">
        <color indexed="64"/>
      </right>
      <top style="thin">
        <color theme="6"/>
      </top>
      <bottom/>
      <diagonal/>
    </border>
    <border>
      <left style="medium">
        <color indexed="64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medium">
        <color indexed="64"/>
      </right>
      <top/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medium">
        <color theme="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1"/>
      </bottom>
      <diagonal/>
    </border>
    <border>
      <left/>
      <right style="thin">
        <color theme="6"/>
      </right>
      <top style="thin">
        <color theme="6"/>
      </top>
      <bottom style="medium">
        <color theme="1"/>
      </bottom>
      <diagonal/>
    </border>
    <border>
      <left/>
      <right style="medium">
        <color theme="1"/>
      </right>
      <top style="thin">
        <color theme="6"/>
      </top>
      <bottom style="medium">
        <color theme="1"/>
      </bottom>
      <diagonal/>
    </border>
    <border>
      <left/>
      <right style="medium">
        <color theme="1"/>
      </right>
      <top style="thin">
        <color theme="6"/>
      </top>
      <bottom style="thin">
        <color theme="6"/>
      </bottom>
      <diagonal/>
    </border>
    <border>
      <left style="medium">
        <color theme="1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6"/>
      </right>
      <top style="thin">
        <color theme="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4"/>
      </top>
      <bottom style="thin">
        <color theme="6"/>
      </bottom>
      <diagonal/>
    </border>
    <border>
      <left style="thin">
        <color theme="6"/>
      </left>
      <right style="medium">
        <color theme="1"/>
      </right>
      <top style="thin">
        <color theme="4"/>
      </top>
      <bottom style="thin">
        <color theme="6"/>
      </bottom>
      <diagonal/>
    </border>
    <border>
      <left style="thin">
        <color theme="6"/>
      </left>
      <right style="medium">
        <color theme="1"/>
      </right>
      <top style="thin">
        <color theme="6"/>
      </top>
      <bottom style="thin">
        <color theme="6"/>
      </bottom>
      <diagonal/>
    </border>
    <border>
      <left style="medium">
        <color theme="1"/>
      </left>
      <right style="thin">
        <color theme="6"/>
      </right>
      <top style="thin">
        <color theme="6"/>
      </top>
      <bottom style="medium">
        <color theme="1"/>
      </bottom>
      <diagonal/>
    </border>
    <border>
      <left style="thin">
        <color theme="6"/>
      </left>
      <right style="medium">
        <color theme="1"/>
      </right>
      <top style="thin">
        <color theme="6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medium">
        <color theme="1"/>
      </right>
      <top/>
      <bottom style="thin">
        <color theme="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indexed="64"/>
      </bottom>
      <diagonal/>
    </border>
    <border>
      <left style="thin">
        <color theme="6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6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theme="1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hair">
        <color theme="6"/>
      </left>
      <right style="medium">
        <color theme="1"/>
      </right>
      <top style="hair">
        <color theme="6"/>
      </top>
      <bottom style="hair">
        <color theme="6"/>
      </bottom>
      <diagonal/>
    </border>
    <border>
      <left style="medium">
        <color theme="1"/>
      </left>
      <right style="hair">
        <color theme="6"/>
      </right>
      <top style="hair">
        <color theme="6"/>
      </top>
      <bottom style="medium">
        <color theme="1"/>
      </bottom>
      <diagonal/>
    </border>
    <border>
      <left style="medium">
        <color theme="1"/>
      </left>
      <right style="hair">
        <color theme="6"/>
      </right>
      <top style="medium">
        <color theme="1"/>
      </top>
      <bottom style="hair">
        <color theme="6"/>
      </bottom>
      <diagonal/>
    </border>
    <border>
      <left style="hair">
        <color theme="6"/>
      </left>
      <right style="hair">
        <color theme="6"/>
      </right>
      <top style="medium">
        <color theme="1"/>
      </top>
      <bottom style="hair">
        <color theme="6"/>
      </bottom>
      <diagonal/>
    </border>
    <border>
      <left style="hair">
        <color theme="6"/>
      </left>
      <right style="medium">
        <color theme="1"/>
      </right>
      <top style="medium">
        <color theme="1"/>
      </top>
      <bottom style="hair">
        <color theme="6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6"/>
      </bottom>
      <diagonal/>
    </border>
    <border>
      <left style="medium">
        <color theme="1"/>
      </left>
      <right/>
      <top style="medium">
        <color theme="1"/>
      </top>
      <bottom style="thin">
        <color theme="6"/>
      </bottom>
      <diagonal/>
    </border>
    <border>
      <left/>
      <right/>
      <top style="medium">
        <color theme="1"/>
      </top>
      <bottom style="thin">
        <color theme="6"/>
      </bottom>
      <diagonal/>
    </border>
    <border>
      <left/>
      <right style="medium">
        <color theme="1"/>
      </right>
      <top style="medium">
        <color theme="1"/>
      </top>
      <bottom style="thin">
        <color theme="6"/>
      </bottom>
      <diagonal/>
    </border>
    <border>
      <left style="medium">
        <color indexed="64"/>
      </left>
      <right style="medium">
        <color theme="1"/>
      </right>
      <top/>
      <bottom style="thin">
        <color theme="6"/>
      </bottom>
      <diagonal/>
    </border>
    <border>
      <left style="medium">
        <color theme="1"/>
      </left>
      <right/>
      <top/>
      <bottom style="thin">
        <color theme="6"/>
      </bottom>
      <diagonal/>
    </border>
    <border>
      <left/>
      <right style="medium">
        <color theme="1"/>
      </right>
      <top/>
      <bottom style="thin">
        <color theme="6"/>
      </bottom>
      <diagonal/>
    </border>
    <border>
      <left style="medium">
        <color theme="1"/>
      </left>
      <right/>
      <top style="thin">
        <color theme="6"/>
      </top>
      <bottom/>
      <diagonal/>
    </border>
    <border>
      <left/>
      <right style="medium">
        <color theme="1"/>
      </right>
      <top style="thin">
        <color theme="6"/>
      </top>
      <bottom/>
      <diagonal/>
    </border>
    <border>
      <left style="medium">
        <color indexed="64"/>
      </left>
      <right style="medium">
        <color theme="1"/>
      </right>
      <top style="thin">
        <color theme="6"/>
      </top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theme="1"/>
      </top>
      <bottom style="thin">
        <color theme="6"/>
      </bottom>
      <diagonal/>
    </border>
    <border>
      <left style="thin">
        <color theme="6"/>
      </left>
      <right style="medium">
        <color theme="1"/>
      </right>
      <top style="medium">
        <color theme="1"/>
      </top>
      <bottom style="thin">
        <color theme="6"/>
      </bottom>
      <diagonal/>
    </border>
    <border>
      <left/>
      <right style="thin">
        <color theme="6"/>
      </right>
      <top style="medium">
        <color theme="1"/>
      </top>
      <bottom style="thin">
        <color theme="6"/>
      </bottom>
      <diagonal/>
    </border>
    <border>
      <left style="thin">
        <color theme="6"/>
      </left>
      <right/>
      <top style="medium">
        <color theme="1"/>
      </top>
      <bottom style="thin">
        <color theme="6"/>
      </bottom>
      <diagonal/>
    </border>
  </borders>
  <cellStyleXfs count="3">
    <xf numFmtId="0" fontId="0" fillId="0" borderId="0"/>
    <xf numFmtId="0" fontId="1" fillId="0" borderId="0"/>
    <xf numFmtId="44" fontId="25" fillId="0" borderId="0" applyFont="0" applyFill="0" applyBorder="0" applyAlignment="0" applyProtection="0"/>
  </cellStyleXfs>
  <cellXfs count="3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0" xfId="0" quotePrefix="1" applyFont="1" applyAlignment="1">
      <alignment vertical="center"/>
    </xf>
    <xf numFmtId="0" fontId="7" fillId="2" borderId="19" xfId="0" applyFont="1" applyFill="1" applyBorder="1" applyAlignment="1">
      <alignment horizontal="center" vertical="center"/>
    </xf>
    <xf numFmtId="0" fontId="3" fillId="0" borderId="34" xfId="0" quotePrefix="1" applyFont="1" applyBorder="1" applyAlignment="1">
      <alignment vertical="center"/>
    </xf>
    <xf numFmtId="0" fontId="3" fillId="3" borderId="34" xfId="0" quotePrefix="1" applyFont="1" applyFill="1" applyBorder="1" applyAlignment="1">
      <alignment vertical="center"/>
    </xf>
    <xf numFmtId="0" fontId="3" fillId="4" borderId="34" xfId="0" quotePrefix="1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4" fillId="3" borderId="36" xfId="0" quotePrefix="1" applyFont="1" applyFill="1" applyBorder="1" applyAlignment="1">
      <alignment vertical="center"/>
    </xf>
    <xf numFmtId="0" fontId="3" fillId="3" borderId="37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14" fillId="3" borderId="39" xfId="0" applyFont="1" applyFill="1" applyBorder="1" applyAlignment="1">
      <alignment vertical="center"/>
    </xf>
    <xf numFmtId="0" fontId="14" fillId="4" borderId="39" xfId="0" applyFont="1" applyFill="1" applyBorder="1" applyAlignment="1">
      <alignment vertical="center"/>
    </xf>
    <xf numFmtId="0" fontId="3" fillId="3" borderId="39" xfId="0" applyFont="1" applyFill="1" applyBorder="1" applyAlignment="1">
      <alignment vertical="center"/>
    </xf>
    <xf numFmtId="0" fontId="3" fillId="0" borderId="39" xfId="0" quotePrefix="1" applyFont="1" applyBorder="1" applyAlignment="1">
      <alignment vertical="center"/>
    </xf>
    <xf numFmtId="0" fontId="14" fillId="3" borderId="38" xfId="0" applyFont="1" applyFill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6" borderId="40" xfId="0" applyFont="1" applyFill="1" applyBorder="1" applyAlignment="1">
      <alignment horizontal="center" vertical="center"/>
    </xf>
    <xf numFmtId="6" fontId="17" fillId="0" borderId="0" xfId="0" applyNumberFormat="1" applyFont="1"/>
    <xf numFmtId="1" fontId="7" fillId="5" borderId="42" xfId="0" applyNumberFormat="1" applyFont="1" applyFill="1" applyBorder="1"/>
    <xf numFmtId="0" fontId="7" fillId="5" borderId="43" xfId="0" applyFont="1" applyFill="1" applyBorder="1"/>
    <xf numFmtId="0" fontId="7" fillId="5" borderId="44" xfId="0" applyFont="1" applyFill="1" applyBorder="1"/>
    <xf numFmtId="0" fontId="18" fillId="0" borderId="45" xfId="0" applyFont="1" applyBorder="1" applyAlignment="1">
      <alignment wrapText="1"/>
    </xf>
    <xf numFmtId="0" fontId="18" fillId="0" borderId="46" xfId="0" applyFont="1" applyBorder="1" applyAlignment="1">
      <alignment wrapText="1"/>
    </xf>
    <xf numFmtId="0" fontId="18" fillId="0" borderId="47" xfId="0" applyFont="1" applyBorder="1" applyAlignment="1">
      <alignment wrapText="1"/>
    </xf>
    <xf numFmtId="0" fontId="18" fillId="0" borderId="40" xfId="0" applyFont="1" applyBorder="1" applyAlignment="1">
      <alignment wrapText="1"/>
    </xf>
    <xf numFmtId="0" fontId="18" fillId="0" borderId="34" xfId="0" applyFont="1" applyBorder="1" applyAlignment="1">
      <alignment wrapText="1"/>
    </xf>
    <xf numFmtId="0" fontId="18" fillId="0" borderId="48" xfId="0" applyFont="1" applyBorder="1" applyAlignment="1">
      <alignment wrapText="1"/>
    </xf>
    <xf numFmtId="0" fontId="18" fillId="0" borderId="49" xfId="0" applyFont="1" applyBorder="1" applyAlignment="1">
      <alignment wrapText="1"/>
    </xf>
    <xf numFmtId="0" fontId="18" fillId="0" borderId="36" xfId="0" applyFont="1" applyBorder="1" applyAlignment="1">
      <alignment wrapText="1"/>
    </xf>
    <xf numFmtId="0" fontId="18" fillId="0" borderId="50" xfId="0" applyFont="1" applyBorder="1" applyAlignment="1">
      <alignment wrapText="1"/>
    </xf>
    <xf numFmtId="0" fontId="18" fillId="0" borderId="46" xfId="0" applyFont="1" applyBorder="1"/>
    <xf numFmtId="0" fontId="18" fillId="0" borderId="34" xfId="0" applyFont="1" applyBorder="1"/>
    <xf numFmtId="0" fontId="18" fillId="0" borderId="36" xfId="0" applyFont="1" applyBorder="1"/>
    <xf numFmtId="0" fontId="3" fillId="0" borderId="7" xfId="0" applyFont="1" applyBorder="1" applyAlignment="1">
      <alignment vertical="center"/>
    </xf>
    <xf numFmtId="0" fontId="3" fillId="0" borderId="34" xfId="0" quotePrefix="1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4" borderId="34" xfId="0" applyFont="1" applyFill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3" fillId="0" borderId="41" xfId="0" applyFont="1" applyBorder="1" applyAlignment="1">
      <alignment horizontal="right"/>
    </xf>
    <xf numFmtId="165" fontId="3" fillId="0" borderId="0" xfId="0" applyNumberFormat="1" applyFont="1"/>
    <xf numFmtId="165" fontId="3" fillId="0" borderId="41" xfId="0" applyNumberFormat="1" applyFont="1" applyBorder="1" applyAlignment="1">
      <alignment horizontal="right"/>
    </xf>
    <xf numFmtId="1" fontId="3" fillId="0" borderId="41" xfId="0" applyNumberFormat="1" applyFont="1" applyBorder="1" applyAlignment="1">
      <alignment horizontal="right"/>
    </xf>
    <xf numFmtId="1" fontId="3" fillId="0" borderId="0" xfId="0" applyNumberFormat="1" applyFont="1" applyAlignment="1">
      <alignment vertical="center"/>
    </xf>
    <xf numFmtId="0" fontId="20" fillId="0" borderId="0" xfId="0" applyFont="1"/>
    <xf numFmtId="0" fontId="2" fillId="0" borderId="0" xfId="0" applyFont="1" applyAlignment="1">
      <alignment vertical="center"/>
    </xf>
    <xf numFmtId="0" fontId="22" fillId="0" borderId="0" xfId="0" applyFont="1"/>
    <xf numFmtId="0" fontId="2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3" fillId="0" borderId="66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0" fontId="3" fillId="3" borderId="67" xfId="0" applyFont="1" applyFill="1" applyBorder="1" applyAlignment="1">
      <alignment vertical="center"/>
    </xf>
    <xf numFmtId="0" fontId="3" fillId="3" borderId="52" xfId="0" applyFont="1" applyFill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3" fillId="3" borderId="68" xfId="0" applyFont="1" applyFill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3" borderId="6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3" fillId="0" borderId="75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26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3" fillId="0" borderId="7" xfId="0" applyFont="1" applyBorder="1"/>
    <xf numFmtId="0" fontId="5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3" fillId="0" borderId="43" xfId="0" applyFont="1" applyBorder="1"/>
    <xf numFmtId="0" fontId="5" fillId="0" borderId="76" xfId="0" applyFont="1" applyBorder="1" applyAlignment="1">
      <alignment vertical="center"/>
    </xf>
    <xf numFmtId="0" fontId="3" fillId="0" borderId="78" xfId="0" applyFont="1" applyBorder="1"/>
    <xf numFmtId="0" fontId="3" fillId="0" borderId="81" xfId="0" applyFont="1" applyBorder="1"/>
    <xf numFmtId="0" fontId="3" fillId="3" borderId="85" xfId="0" applyFont="1" applyFill="1" applyBorder="1"/>
    <xf numFmtId="0" fontId="5" fillId="3" borderId="73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3" fillId="3" borderId="31" xfId="0" applyFont="1" applyFill="1" applyBorder="1" applyAlignment="1">
      <alignment vertical="center"/>
    </xf>
    <xf numFmtId="0" fontId="7" fillId="2" borderId="69" xfId="0" applyFont="1" applyFill="1" applyBorder="1" applyAlignment="1">
      <alignment vertical="center"/>
    </xf>
    <xf numFmtId="0" fontId="7" fillId="2" borderId="70" xfId="0" applyFont="1" applyFill="1" applyBorder="1" applyAlignment="1">
      <alignment vertical="center"/>
    </xf>
    <xf numFmtId="0" fontId="7" fillId="2" borderId="71" xfId="0" applyFont="1" applyFill="1" applyBorder="1" applyAlignment="1">
      <alignment vertical="center"/>
    </xf>
    <xf numFmtId="0" fontId="7" fillId="2" borderId="82" xfId="0" applyFont="1" applyFill="1" applyBorder="1" applyAlignment="1">
      <alignment horizontal="center"/>
    </xf>
    <xf numFmtId="0" fontId="3" fillId="3" borderId="78" xfId="0" applyFont="1" applyFill="1" applyBorder="1"/>
    <xf numFmtId="0" fontId="3" fillId="0" borderId="0" xfId="0" quotePrefix="1" applyFont="1" applyAlignment="1">
      <alignment vertical="center" wrapText="1"/>
    </xf>
    <xf numFmtId="0" fontId="3" fillId="3" borderId="91" xfId="0" applyFont="1" applyFill="1" applyBorder="1" applyAlignment="1">
      <alignment vertical="center" wrapText="1"/>
    </xf>
    <xf numFmtId="0" fontId="7" fillId="2" borderId="55" xfId="0" applyFont="1" applyFill="1" applyBorder="1"/>
    <xf numFmtId="0" fontId="7" fillId="2" borderId="56" xfId="0" applyFont="1" applyFill="1" applyBorder="1"/>
    <xf numFmtId="0" fontId="7" fillId="2" borderId="57" xfId="0" applyFont="1" applyFill="1" applyBorder="1"/>
    <xf numFmtId="0" fontId="5" fillId="0" borderId="58" xfId="0" applyFont="1" applyBorder="1"/>
    <xf numFmtId="9" fontId="3" fillId="0" borderId="34" xfId="0" applyNumberFormat="1" applyFont="1" applyBorder="1"/>
    <xf numFmtId="9" fontId="3" fillId="0" borderId="59" xfId="0" applyNumberFormat="1" applyFont="1" applyBorder="1"/>
    <xf numFmtId="0" fontId="5" fillId="3" borderId="58" xfId="0" applyFont="1" applyFill="1" applyBorder="1"/>
    <xf numFmtId="9" fontId="3" fillId="3" borderId="34" xfId="0" applyNumberFormat="1" applyFont="1" applyFill="1" applyBorder="1"/>
    <xf numFmtId="9" fontId="3" fillId="3" borderId="59" xfId="0" applyNumberFormat="1" applyFont="1" applyFill="1" applyBorder="1"/>
    <xf numFmtId="0" fontId="5" fillId="3" borderId="60" xfId="0" applyFont="1" applyFill="1" applyBorder="1"/>
    <xf numFmtId="167" fontId="5" fillId="7" borderId="61" xfId="0" applyNumberFormat="1" applyFont="1" applyFill="1" applyBorder="1"/>
    <xf numFmtId="9" fontId="3" fillId="3" borderId="62" xfId="0" applyNumberFormat="1" applyFont="1" applyFill="1" applyBorder="1"/>
    <xf numFmtId="10" fontId="3" fillId="0" borderId="0" xfId="0" applyNumberFormat="1" applyFont="1"/>
    <xf numFmtId="166" fontId="3" fillId="0" borderId="0" xfId="0" applyNumberFormat="1" applyFont="1"/>
    <xf numFmtId="6" fontId="3" fillId="0" borderId="48" xfId="0" applyNumberFormat="1" applyFont="1" applyBorder="1"/>
    <xf numFmtId="0" fontId="3" fillId="3" borderId="48" xfId="0" applyFont="1" applyFill="1" applyBorder="1"/>
    <xf numFmtId="0" fontId="3" fillId="0" borderId="6" xfId="0" applyFont="1" applyBorder="1"/>
    <xf numFmtId="0" fontId="5" fillId="0" borderId="37" xfId="0" applyFont="1" applyBorder="1"/>
    <xf numFmtId="10" fontId="5" fillId="7" borderId="50" xfId="0" applyNumberFormat="1" applyFont="1" applyFill="1" applyBorder="1"/>
    <xf numFmtId="8" fontId="3" fillId="0" borderId="0" xfId="0" applyNumberFormat="1" applyFont="1"/>
    <xf numFmtId="10" fontId="3" fillId="0" borderId="41" xfId="0" applyNumberFormat="1" applyFont="1" applyBorder="1"/>
    <xf numFmtId="0" fontId="3" fillId="2" borderId="0" xfId="0" applyFont="1" applyFill="1"/>
    <xf numFmtId="0" fontId="7" fillId="2" borderId="42" xfId="0" applyFont="1" applyFill="1" applyBorder="1"/>
    <xf numFmtId="0" fontId="7" fillId="2" borderId="44" xfId="0" applyFont="1" applyFill="1" applyBorder="1"/>
    <xf numFmtId="0" fontId="5" fillId="0" borderId="97" xfId="0" applyFont="1" applyBorder="1"/>
    <xf numFmtId="0" fontId="3" fillId="0" borderId="53" xfId="0" applyFont="1" applyBorder="1"/>
    <xf numFmtId="0" fontId="5" fillId="0" borderId="40" xfId="0" applyFont="1" applyBorder="1"/>
    <xf numFmtId="8" fontId="3" fillId="0" borderId="48" xfId="0" applyNumberFormat="1" applyFont="1" applyBorder="1"/>
    <xf numFmtId="0" fontId="5" fillId="0" borderId="49" xfId="0" applyFont="1" applyBorder="1"/>
    <xf numFmtId="8" fontId="23" fillId="0" borderId="50" xfId="0" applyNumberFormat="1" applyFont="1" applyBorder="1"/>
    <xf numFmtId="0" fontId="5" fillId="3" borderId="40" xfId="0" applyFont="1" applyFill="1" applyBorder="1"/>
    <xf numFmtId="8" fontId="3" fillId="3" borderId="48" xfId="0" applyNumberFormat="1" applyFont="1" applyFill="1" applyBorder="1"/>
    <xf numFmtId="14" fontId="0" fillId="0" borderId="0" xfId="0" applyNumberFormat="1"/>
    <xf numFmtId="0" fontId="3" fillId="0" borderId="0" xfId="0" applyFont="1" applyAlignment="1">
      <alignment wrapText="1"/>
    </xf>
    <xf numFmtId="0" fontId="21" fillId="0" borderId="0" xfId="0" applyFont="1"/>
    <xf numFmtId="1" fontId="0" fillId="0" borderId="0" xfId="0" applyNumberFormat="1"/>
    <xf numFmtId="168" fontId="0" fillId="0" borderId="0" xfId="0" applyNumberFormat="1"/>
    <xf numFmtId="0" fontId="18" fillId="0" borderId="0" xfId="0" applyFont="1" applyAlignment="1">
      <alignment wrapText="1"/>
    </xf>
    <xf numFmtId="14" fontId="3" fillId="0" borderId="0" xfId="0" applyNumberFormat="1" applyFont="1"/>
    <xf numFmtId="168" fontId="18" fillId="0" borderId="0" xfId="2" applyNumberFormat="1" applyFont="1" applyFill="1" applyBorder="1" applyAlignment="1">
      <alignment horizontal="right" wrapText="1"/>
    </xf>
    <xf numFmtId="6" fontId="18" fillId="0" borderId="0" xfId="0" applyNumberFormat="1" applyFont="1"/>
    <xf numFmtId="6" fontId="18" fillId="0" borderId="0" xfId="0" applyNumberFormat="1" applyFont="1" applyAlignment="1">
      <alignment wrapText="1"/>
    </xf>
    <xf numFmtId="14" fontId="3" fillId="0" borderId="0" xfId="0" applyNumberFormat="1" applyFont="1" applyAlignment="1">
      <alignment horizontal="right"/>
    </xf>
    <xf numFmtId="1" fontId="18" fillId="0" borderId="0" xfId="0" applyNumberFormat="1" applyFont="1" applyAlignment="1">
      <alignment wrapText="1"/>
    </xf>
    <xf numFmtId="0" fontId="3" fillId="3" borderId="41" xfId="0" applyFont="1" applyFill="1" applyBorder="1"/>
    <xf numFmtId="0" fontId="3" fillId="0" borderId="12" xfId="0" applyFont="1" applyBorder="1"/>
    <xf numFmtId="0" fontId="3" fillId="0" borderId="11" xfId="0" applyFont="1" applyBorder="1"/>
    <xf numFmtId="0" fontId="3" fillId="0" borderId="31" xfId="0" applyFont="1" applyBorder="1"/>
    <xf numFmtId="0" fontId="3" fillId="0" borderId="29" xfId="0" applyFont="1" applyBorder="1"/>
    <xf numFmtId="0" fontId="3" fillId="0" borderId="30" xfId="0" applyFont="1" applyBorder="1"/>
    <xf numFmtId="0" fontId="5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 wrapText="1"/>
    </xf>
    <xf numFmtId="0" fontId="0" fillId="6" borderId="100" xfId="0" applyFill="1" applyBorder="1"/>
    <xf numFmtId="0" fontId="0" fillId="6" borderId="21" xfId="0" applyFill="1" applyBorder="1"/>
    <xf numFmtId="0" fontId="0" fillId="6" borderId="25" xfId="0" applyFill="1" applyBorder="1"/>
    <xf numFmtId="0" fontId="3" fillId="0" borderId="9" xfId="0" applyFont="1" applyBorder="1" applyAlignment="1">
      <alignment vertical="center"/>
    </xf>
    <xf numFmtId="0" fontId="0" fillId="6" borderId="101" xfId="0" applyFill="1" applyBorder="1"/>
    <xf numFmtId="0" fontId="0" fillId="6" borderId="22" xfId="0" applyFill="1" applyBorder="1"/>
    <xf numFmtId="0" fontId="0" fillId="6" borderId="26" xfId="0" applyFill="1" applyBorder="1"/>
    <xf numFmtId="0" fontId="3" fillId="3" borderId="23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vertical="center" wrapText="1"/>
    </xf>
    <xf numFmtId="0" fontId="3" fillId="3" borderId="28" xfId="0" applyFont="1" applyFill="1" applyBorder="1" applyAlignment="1">
      <alignment vertical="center" wrapText="1"/>
    </xf>
    <xf numFmtId="0" fontId="3" fillId="3" borderId="29" xfId="0" applyFont="1" applyFill="1" applyBorder="1" applyAlignment="1">
      <alignment vertical="center" wrapText="1"/>
    </xf>
    <xf numFmtId="0" fontId="3" fillId="3" borderId="32" xfId="0" applyFont="1" applyFill="1" applyBorder="1" applyAlignment="1">
      <alignment vertical="center" wrapText="1"/>
    </xf>
    <xf numFmtId="0" fontId="22" fillId="0" borderId="0" xfId="0" applyFont="1" applyAlignment="1">
      <alignment vertical="center"/>
    </xf>
    <xf numFmtId="0" fontId="3" fillId="0" borderId="23" xfId="0" quotePrefix="1" applyFont="1" applyBorder="1" applyAlignment="1">
      <alignment vertical="center" wrapText="1"/>
    </xf>
    <xf numFmtId="0" fontId="3" fillId="0" borderId="24" xfId="0" quotePrefix="1" applyFont="1" applyBorder="1" applyAlignment="1">
      <alignment vertical="center" wrapText="1"/>
    </xf>
    <xf numFmtId="0" fontId="3" fillId="0" borderId="27" xfId="0" quotePrefix="1" applyFont="1" applyBorder="1" applyAlignment="1">
      <alignment vertical="center" wrapText="1"/>
    </xf>
    <xf numFmtId="0" fontId="3" fillId="0" borderId="76" xfId="0" quotePrefix="1" applyFont="1" applyBorder="1" applyAlignment="1">
      <alignment vertical="center" wrapText="1"/>
    </xf>
    <xf numFmtId="0" fontId="3" fillId="0" borderId="7" xfId="0" quotePrefix="1" applyFont="1" applyBorder="1" applyAlignment="1">
      <alignment vertical="center" wrapText="1"/>
    </xf>
    <xf numFmtId="0" fontId="3" fillId="0" borderId="77" xfId="0" quotePrefix="1" applyFont="1" applyBorder="1" applyAlignment="1">
      <alignment vertical="center" wrapText="1"/>
    </xf>
    <xf numFmtId="0" fontId="5" fillId="0" borderId="72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7" fillId="2" borderId="42" xfId="0" applyFont="1" applyFill="1" applyBorder="1" applyAlignment="1">
      <alignment horizontal="center" vertical="center"/>
    </xf>
    <xf numFmtId="0" fontId="24" fillId="2" borderId="44" xfId="0" applyFont="1" applyFill="1" applyBorder="1" applyAlignment="1">
      <alignment horizontal="center" vertical="center"/>
    </xf>
    <xf numFmtId="0" fontId="5" fillId="0" borderId="65" xfId="0" applyFont="1" applyBorder="1" applyAlignment="1">
      <alignment horizontal="left" vertical="center"/>
    </xf>
    <xf numFmtId="0" fontId="5" fillId="0" borderId="64" xfId="0" applyFont="1" applyBorder="1" applyAlignment="1">
      <alignment horizontal="left" vertical="center"/>
    </xf>
    <xf numFmtId="0" fontId="5" fillId="3" borderId="64" xfId="0" applyFont="1" applyFill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left" vertical="center" wrapText="1"/>
    </xf>
    <xf numFmtId="0" fontId="3" fillId="0" borderId="33" xfId="0" quotePrefix="1" applyFont="1" applyBorder="1" applyAlignment="1">
      <alignment horizontal="left" vertical="center" wrapText="1"/>
    </xf>
    <xf numFmtId="0" fontId="3" fillId="0" borderId="28" xfId="0" quotePrefix="1" applyFont="1" applyBorder="1" applyAlignment="1">
      <alignment horizontal="left" vertical="center" wrapText="1"/>
    </xf>
    <xf numFmtId="0" fontId="3" fillId="0" borderId="29" xfId="0" quotePrefix="1" applyFont="1" applyBorder="1" applyAlignment="1">
      <alignment horizontal="left" vertical="center" wrapText="1"/>
    </xf>
    <xf numFmtId="0" fontId="3" fillId="0" borderId="32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6" borderId="34" xfId="0" quotePrefix="1" applyFont="1" applyFill="1" applyBorder="1" applyAlignment="1">
      <alignment horizontal="left" vertical="center"/>
    </xf>
    <xf numFmtId="0" fontId="3" fillId="6" borderId="34" xfId="0" applyFont="1" applyFill="1" applyBorder="1" applyAlignment="1">
      <alignment horizontal="left" vertical="center"/>
    </xf>
    <xf numFmtId="0" fontId="3" fillId="6" borderId="48" xfId="0" applyFont="1" applyFill="1" applyBorder="1" applyAlignment="1">
      <alignment horizontal="left" vertical="center"/>
    </xf>
    <xf numFmtId="0" fontId="3" fillId="0" borderId="34" xfId="0" quotePrefix="1" applyFont="1" applyBorder="1" applyAlignment="1">
      <alignment horizontal="left" vertical="center"/>
    </xf>
    <xf numFmtId="0" fontId="3" fillId="0" borderId="48" xfId="0" quotePrefix="1" applyFont="1" applyBorder="1" applyAlignment="1">
      <alignment horizontal="left" vertical="center"/>
    </xf>
    <xf numFmtId="0" fontId="3" fillId="6" borderId="34" xfId="0" quotePrefix="1" applyFont="1" applyFill="1" applyBorder="1" applyAlignment="1">
      <alignment horizontal="left" vertical="center" wrapText="1"/>
    </xf>
    <xf numFmtId="0" fontId="3" fillId="6" borderId="48" xfId="0" quotePrefix="1" applyFont="1" applyFill="1" applyBorder="1" applyAlignment="1">
      <alignment horizontal="left" vertical="center" wrapText="1"/>
    </xf>
    <xf numFmtId="0" fontId="3" fillId="6" borderId="36" xfId="0" quotePrefix="1" applyFont="1" applyFill="1" applyBorder="1" applyAlignment="1">
      <alignment horizontal="left" vertical="center" wrapText="1"/>
    </xf>
    <xf numFmtId="0" fontId="3" fillId="6" borderId="50" xfId="0" quotePrefix="1" applyFont="1" applyFill="1" applyBorder="1" applyAlignment="1">
      <alignment horizontal="left" vertical="center" wrapText="1"/>
    </xf>
    <xf numFmtId="0" fontId="2" fillId="0" borderId="5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0" borderId="52" xfId="0" quotePrefix="1" applyFont="1" applyBorder="1" applyAlignment="1">
      <alignment horizontal="left" vertical="center"/>
    </xf>
    <xf numFmtId="0" fontId="3" fillId="0" borderId="53" xfId="0" quotePrefix="1" applyFont="1" applyBorder="1" applyAlignment="1">
      <alignment horizontal="left" vertical="center"/>
    </xf>
    <xf numFmtId="0" fontId="3" fillId="6" borderId="48" xfId="0" quotePrefix="1" applyFont="1" applyFill="1" applyBorder="1" applyAlignment="1">
      <alignment horizontal="left" vertical="center"/>
    </xf>
    <xf numFmtId="0" fontId="5" fillId="6" borderId="40" xfId="0" applyFont="1" applyFill="1" applyBorder="1" applyAlignment="1">
      <alignment horizontal="center" vertical="center"/>
    </xf>
    <xf numFmtId="0" fontId="5" fillId="6" borderId="4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3" borderId="3" xfId="1" quotePrefix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3" xfId="1" quotePrefix="1" applyFont="1" applyFill="1" applyBorder="1" applyAlignment="1">
      <alignment horizontal="center" vertical="center"/>
    </xf>
    <xf numFmtId="0" fontId="3" fillId="3" borderId="14" xfId="1" quotePrefix="1" applyFont="1" applyFill="1" applyBorder="1" applyAlignment="1">
      <alignment horizontal="center" vertical="center"/>
    </xf>
    <xf numFmtId="0" fontId="3" fillId="3" borderId="4" xfId="1" quotePrefix="1" applyFont="1" applyFill="1" applyBorder="1" applyAlignment="1">
      <alignment horizontal="center" vertical="center"/>
    </xf>
    <xf numFmtId="0" fontId="3" fillId="3" borderId="5" xfId="1" quotePrefix="1" applyFont="1" applyFill="1" applyBorder="1" applyAlignment="1">
      <alignment horizontal="center" vertical="center"/>
    </xf>
    <xf numFmtId="0" fontId="3" fillId="0" borderId="26" xfId="1" quotePrefix="1" applyFont="1" applyBorder="1" applyAlignment="1">
      <alignment horizontal="center" vertical="center" wrapText="1"/>
    </xf>
    <xf numFmtId="0" fontId="3" fillId="0" borderId="25" xfId="1" quotePrefix="1" applyFont="1" applyBorder="1" applyAlignment="1">
      <alignment horizontal="center" vertical="center" wrapText="1"/>
    </xf>
    <xf numFmtId="0" fontId="3" fillId="0" borderId="12" xfId="1" quotePrefix="1" applyFont="1" applyBorder="1" applyAlignment="1">
      <alignment horizontal="center" vertical="center" wrapText="1"/>
    </xf>
    <xf numFmtId="0" fontId="3" fillId="0" borderId="11" xfId="1" quotePrefix="1" applyFont="1" applyBorder="1" applyAlignment="1">
      <alignment horizontal="center" vertical="center" wrapText="1"/>
    </xf>
    <xf numFmtId="0" fontId="3" fillId="0" borderId="31" xfId="1" quotePrefix="1" applyFont="1" applyBorder="1" applyAlignment="1">
      <alignment horizontal="center" vertical="center" wrapText="1"/>
    </xf>
    <xf numFmtId="0" fontId="3" fillId="0" borderId="30" xfId="1" quotePrefix="1" applyFont="1" applyBorder="1" applyAlignment="1">
      <alignment horizontal="center" vertical="center" wrapText="1"/>
    </xf>
    <xf numFmtId="0" fontId="3" fillId="0" borderId="27" xfId="1" quotePrefix="1" applyFont="1" applyBorder="1" applyAlignment="1">
      <alignment horizontal="center" vertical="center" wrapText="1"/>
    </xf>
    <xf numFmtId="0" fontId="3" fillId="0" borderId="2" xfId="1" quotePrefix="1" applyFont="1" applyBorder="1" applyAlignment="1">
      <alignment horizontal="center" vertical="center" wrapText="1"/>
    </xf>
    <xf numFmtId="0" fontId="3" fillId="0" borderId="32" xfId="1" quotePrefix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3" fillId="3" borderId="23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0" fontId="3" fillId="3" borderId="28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 wrapText="1"/>
    </xf>
    <xf numFmtId="0" fontId="3" fillId="3" borderId="30" xfId="1" applyFont="1" applyFill="1" applyBorder="1" applyAlignment="1">
      <alignment horizontal="center" vertical="center" wrapText="1"/>
    </xf>
    <xf numFmtId="0" fontId="3" fillId="3" borderId="26" xfId="1" quotePrefix="1" applyFont="1" applyFill="1" applyBorder="1" applyAlignment="1">
      <alignment horizontal="center" vertical="center" wrapText="1"/>
    </xf>
    <xf numFmtId="0" fontId="3" fillId="3" borderId="25" xfId="1" quotePrefix="1" applyFont="1" applyFill="1" applyBorder="1" applyAlignment="1">
      <alignment horizontal="center" vertical="center" wrapText="1"/>
    </xf>
    <xf numFmtId="0" fontId="3" fillId="3" borderId="31" xfId="1" quotePrefix="1" applyFont="1" applyFill="1" applyBorder="1" applyAlignment="1">
      <alignment horizontal="center" vertical="center" wrapText="1"/>
    </xf>
    <xf numFmtId="0" fontId="3" fillId="3" borderId="30" xfId="1" quotePrefix="1" applyFont="1" applyFill="1" applyBorder="1" applyAlignment="1">
      <alignment horizontal="center" vertical="center" wrapText="1"/>
    </xf>
    <xf numFmtId="0" fontId="3" fillId="3" borderId="24" xfId="1" quotePrefix="1" applyFont="1" applyFill="1" applyBorder="1" applyAlignment="1">
      <alignment horizontal="center" vertical="center" wrapText="1"/>
    </xf>
    <xf numFmtId="0" fontId="3" fillId="3" borderId="27" xfId="1" quotePrefix="1" applyFont="1" applyFill="1" applyBorder="1" applyAlignment="1">
      <alignment horizontal="center" vertical="center" wrapText="1"/>
    </xf>
    <xf numFmtId="0" fontId="3" fillId="3" borderId="29" xfId="1" quotePrefix="1" applyFont="1" applyFill="1" applyBorder="1" applyAlignment="1">
      <alignment horizontal="center" vertical="center" wrapText="1"/>
    </xf>
    <xf numFmtId="0" fontId="3" fillId="3" borderId="32" xfId="1" quotePrefix="1" applyFont="1" applyFill="1" applyBorder="1" applyAlignment="1">
      <alignment horizontal="center" vertical="center" wrapText="1"/>
    </xf>
    <xf numFmtId="0" fontId="3" fillId="4" borderId="20" xfId="1" applyFont="1" applyFill="1" applyBorder="1" applyAlignment="1">
      <alignment horizontal="center" vertical="center"/>
    </xf>
    <xf numFmtId="0" fontId="3" fillId="4" borderId="19" xfId="1" applyFont="1" applyFill="1" applyBorder="1" applyAlignment="1">
      <alignment horizontal="center" vertical="center"/>
    </xf>
    <xf numFmtId="0" fontId="3" fillId="4" borderId="21" xfId="1" applyFont="1" applyFill="1" applyBorder="1" applyAlignment="1">
      <alignment horizontal="center" vertical="center"/>
    </xf>
    <xf numFmtId="0" fontId="3" fillId="4" borderId="22" xfId="1" quotePrefix="1" applyFont="1" applyFill="1" applyBorder="1" applyAlignment="1">
      <alignment horizontal="center" vertical="center"/>
    </xf>
    <xf numFmtId="0" fontId="3" fillId="4" borderId="21" xfId="1" quotePrefix="1" applyFont="1" applyFill="1" applyBorder="1" applyAlignment="1">
      <alignment horizontal="center" vertical="center"/>
    </xf>
    <xf numFmtId="0" fontId="3" fillId="4" borderId="19" xfId="1" quotePrefix="1" applyFont="1" applyFill="1" applyBorder="1" applyAlignment="1">
      <alignment horizontal="center" vertical="center"/>
    </xf>
    <xf numFmtId="0" fontId="3" fillId="4" borderId="18" xfId="1" applyFont="1" applyFill="1" applyBorder="1" applyAlignment="1">
      <alignment horizontal="center" vertical="center"/>
    </xf>
    <xf numFmtId="0" fontId="3" fillId="4" borderId="23" xfId="1" applyFont="1" applyFill="1" applyBorder="1" applyAlignment="1">
      <alignment horizontal="center" vertical="center"/>
    </xf>
    <xf numFmtId="0" fontId="3" fillId="4" borderId="24" xfId="1" applyFont="1" applyFill="1" applyBorder="1" applyAlignment="1">
      <alignment horizontal="center" vertical="center"/>
    </xf>
    <xf numFmtId="0" fontId="3" fillId="4" borderId="25" xfId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3" fillId="4" borderId="29" xfId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center" vertical="center"/>
    </xf>
    <xf numFmtId="0" fontId="3" fillId="4" borderId="26" xfId="1" quotePrefix="1" applyFont="1" applyFill="1" applyBorder="1" applyAlignment="1">
      <alignment horizontal="center" vertical="center" wrapText="1"/>
    </xf>
    <xf numFmtId="0" fontId="3" fillId="4" borderId="25" xfId="1" quotePrefix="1" applyFont="1" applyFill="1" applyBorder="1" applyAlignment="1">
      <alignment horizontal="center" vertical="center" wrapText="1"/>
    </xf>
    <xf numFmtId="0" fontId="3" fillId="4" borderId="31" xfId="1" quotePrefix="1" applyFont="1" applyFill="1" applyBorder="1" applyAlignment="1">
      <alignment horizontal="center" vertical="center" wrapText="1"/>
    </xf>
    <xf numFmtId="0" fontId="3" fillId="4" borderId="30" xfId="1" quotePrefix="1" applyFont="1" applyFill="1" applyBorder="1" applyAlignment="1">
      <alignment horizontal="center" vertical="center" wrapText="1"/>
    </xf>
    <xf numFmtId="0" fontId="3" fillId="4" borderId="24" xfId="1" quotePrefix="1" applyFont="1" applyFill="1" applyBorder="1" applyAlignment="1">
      <alignment horizontal="center" vertical="center" wrapText="1"/>
    </xf>
    <xf numFmtId="0" fontId="3" fillId="4" borderId="27" xfId="1" quotePrefix="1" applyFont="1" applyFill="1" applyBorder="1" applyAlignment="1">
      <alignment horizontal="center" vertical="center" wrapText="1"/>
    </xf>
    <xf numFmtId="0" fontId="3" fillId="4" borderId="29" xfId="1" quotePrefix="1" applyFont="1" applyFill="1" applyBorder="1" applyAlignment="1">
      <alignment horizontal="center" vertical="center" wrapText="1"/>
    </xf>
    <xf numFmtId="0" fontId="3" fillId="4" borderId="32" xfId="1" quotePrefix="1" applyFont="1" applyFill="1" applyBorder="1" applyAlignment="1">
      <alignment horizontal="center" vertical="center" wrapText="1"/>
    </xf>
    <xf numFmtId="0" fontId="3" fillId="0" borderId="7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75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2" borderId="83" xfId="0" applyFont="1" applyFill="1" applyBorder="1" applyAlignment="1">
      <alignment horizontal="center"/>
    </xf>
    <xf numFmtId="0" fontId="24" fillId="2" borderId="84" xfId="0" applyFont="1" applyFill="1" applyBorder="1" applyAlignment="1">
      <alignment horizontal="center"/>
    </xf>
    <xf numFmtId="0" fontId="3" fillId="0" borderId="1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51" xfId="0" quotePrefix="1" applyFont="1" applyBorder="1" applyAlignment="1">
      <alignment vertical="center" wrapText="1"/>
    </xf>
    <xf numFmtId="0" fontId="3" fillId="0" borderId="43" xfId="0" quotePrefix="1" applyFont="1" applyBorder="1" applyAlignment="1">
      <alignment vertical="center" wrapText="1"/>
    </xf>
    <xf numFmtId="0" fontId="3" fillId="0" borderId="44" xfId="0" quotePrefix="1" applyFont="1" applyBorder="1" applyAlignment="1">
      <alignment vertical="center" wrapText="1"/>
    </xf>
    <xf numFmtId="0" fontId="3" fillId="0" borderId="6" xfId="0" quotePrefix="1" applyFont="1" applyBorder="1" applyAlignment="1">
      <alignment vertical="center"/>
    </xf>
    <xf numFmtId="0" fontId="3" fillId="0" borderId="79" xfId="0" applyFont="1" applyBorder="1"/>
    <xf numFmtId="0" fontId="3" fillId="0" borderId="80" xfId="0" applyFont="1" applyBorder="1"/>
    <xf numFmtId="0" fontId="5" fillId="3" borderId="68" xfId="0" applyFont="1" applyFill="1" applyBorder="1" applyAlignment="1">
      <alignment vertical="center"/>
    </xf>
    <xf numFmtId="0" fontId="3" fillId="0" borderId="0" xfId="0" applyFont="1"/>
    <xf numFmtId="0" fontId="3" fillId="3" borderId="86" xfId="0" applyFont="1" applyFill="1" applyBorder="1"/>
    <xf numFmtId="0" fontId="3" fillId="3" borderId="87" xfId="0" applyFont="1" applyFill="1" applyBorder="1"/>
    <xf numFmtId="0" fontId="3" fillId="3" borderId="88" xfId="0" applyFont="1" applyFill="1" applyBorder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42" xfId="0" quotePrefix="1" applyFont="1" applyBorder="1" applyAlignment="1">
      <alignment vertical="center" wrapText="1"/>
    </xf>
    <xf numFmtId="0" fontId="3" fillId="0" borderId="90" xfId="0" quotePrefix="1" applyFont="1" applyBorder="1" applyAlignment="1">
      <alignment vertical="center" wrapText="1"/>
    </xf>
    <xf numFmtId="0" fontId="3" fillId="0" borderId="29" xfId="0" quotePrefix="1" applyFont="1" applyBorder="1" applyAlignment="1">
      <alignment vertical="center" wrapText="1"/>
    </xf>
    <xf numFmtId="0" fontId="3" fillId="0" borderId="91" xfId="0" quotePrefix="1" applyFont="1" applyBorder="1" applyAlignment="1">
      <alignment vertical="center" wrapText="1"/>
    </xf>
    <xf numFmtId="0" fontId="3" fillId="3" borderId="73" xfId="0" applyFont="1" applyFill="1" applyBorder="1" applyAlignment="1">
      <alignment vertical="center" wrapText="1"/>
    </xf>
    <xf numFmtId="0" fontId="3" fillId="3" borderId="90" xfId="0" applyFont="1" applyFill="1" applyBorder="1" applyAlignment="1">
      <alignment vertical="center" wrapText="1"/>
    </xf>
    <xf numFmtId="0" fontId="3" fillId="0" borderId="73" xfId="0" quotePrefix="1" applyFont="1" applyBorder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74" xfId="0" quotePrefix="1" applyFont="1" applyBorder="1" applyAlignment="1">
      <alignment vertical="center" wrapText="1"/>
    </xf>
    <xf numFmtId="0" fontId="3" fillId="0" borderId="75" xfId="0" quotePrefix="1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0" borderId="96" xfId="0" applyFont="1" applyBorder="1" applyAlignment="1">
      <alignment horizontal="left" vertical="center"/>
    </xf>
    <xf numFmtId="0" fontId="5" fillId="0" borderId="89" xfId="0" applyFont="1" applyBorder="1" applyAlignment="1">
      <alignment horizontal="left" vertical="center"/>
    </xf>
    <xf numFmtId="0" fontId="5" fillId="3" borderId="94" xfId="0" applyFont="1" applyFill="1" applyBorder="1" applyAlignment="1">
      <alignment horizontal="left" vertical="center"/>
    </xf>
    <xf numFmtId="0" fontId="5" fillId="3" borderId="89" xfId="0" applyFont="1" applyFill="1" applyBorder="1" applyAlignment="1">
      <alignment horizontal="left" vertical="center"/>
    </xf>
    <xf numFmtId="0" fontId="3" fillId="3" borderId="92" xfId="0" applyFont="1" applyFill="1" applyBorder="1" applyAlignment="1">
      <alignment vertical="center" wrapText="1"/>
    </xf>
    <xf numFmtId="0" fontId="5" fillId="0" borderId="94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3" fillId="0" borderId="92" xfId="0" quotePrefix="1" applyFont="1" applyBorder="1" applyAlignment="1">
      <alignment vertical="center" wrapText="1"/>
    </xf>
    <xf numFmtId="0" fontId="3" fillId="0" borderId="93" xfId="0" quotePrefix="1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5" fillId="0" borderId="55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3" borderId="58" xfId="0" applyFont="1" applyFill="1" applyBorder="1" applyAlignment="1">
      <alignment horizontal="left" vertical="center"/>
    </xf>
    <xf numFmtId="0" fontId="5" fillId="0" borderId="60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3" borderId="34" xfId="0" applyFont="1" applyFill="1" applyBorder="1" applyAlignment="1">
      <alignment vertical="center" wrapText="1"/>
    </xf>
    <xf numFmtId="0" fontId="3" fillId="3" borderId="48" xfId="0" applyFont="1" applyFill="1" applyBorder="1" applyAlignment="1">
      <alignment vertical="center" wrapText="1"/>
    </xf>
    <xf numFmtId="0" fontId="3" fillId="0" borderId="34" xfId="0" quotePrefix="1" applyFont="1" applyBorder="1" applyAlignment="1">
      <alignment vertical="center" wrapText="1"/>
    </xf>
    <xf numFmtId="0" fontId="3" fillId="0" borderId="48" xfId="0" quotePrefix="1" applyFont="1" applyBorder="1" applyAlignment="1">
      <alignment vertical="center" wrapText="1"/>
    </xf>
    <xf numFmtId="0" fontId="3" fillId="0" borderId="36" xfId="0" quotePrefix="1" applyFont="1" applyBorder="1" applyAlignment="1">
      <alignment vertical="center" wrapText="1"/>
    </xf>
    <xf numFmtId="0" fontId="3" fillId="0" borderId="50" xfId="0" quotePrefix="1" applyFont="1" applyBorder="1" applyAlignment="1">
      <alignment vertical="center" wrapText="1"/>
    </xf>
    <xf numFmtId="0" fontId="3" fillId="0" borderId="98" xfId="0" quotePrefix="1" applyFont="1" applyBorder="1" applyAlignment="1">
      <alignment vertical="center" wrapText="1"/>
    </xf>
    <xf numFmtId="0" fontId="3" fillId="0" borderId="99" xfId="0" quotePrefix="1" applyFont="1" applyBorder="1" applyAlignment="1">
      <alignment vertical="center" wrapText="1"/>
    </xf>
    <xf numFmtId="0" fontId="3" fillId="0" borderId="0" xfId="0" applyFont="1" applyBorder="1"/>
    <xf numFmtId="0" fontId="0" fillId="0" borderId="0" xfId="0" applyAlignment="1"/>
    <xf numFmtId="6" fontId="3" fillId="0" borderId="0" xfId="0" applyNumberFormat="1" applyFont="1" applyBorder="1"/>
    <xf numFmtId="6" fontId="3" fillId="0" borderId="59" xfId="0" applyNumberFormat="1" applyFont="1" applyBorder="1"/>
    <xf numFmtId="0" fontId="3" fillId="3" borderId="59" xfId="0" applyFont="1" applyFill="1" applyBorder="1"/>
    <xf numFmtId="0" fontId="5" fillId="0" borderId="60" xfId="0" applyFont="1" applyBorder="1"/>
    <xf numFmtId="10" fontId="5" fillId="7" borderId="6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0" fontId="0" fillId="0" borderId="0" xfId="0" applyNumberFormat="1"/>
    <xf numFmtId="0" fontId="18" fillId="0" borderId="0" xfId="0" applyFont="1" applyFill="1" applyAlignment="1">
      <alignment wrapText="1"/>
    </xf>
    <xf numFmtId="0" fontId="0" fillId="0" borderId="0" xfId="0" applyFill="1" applyAlignment="1"/>
    <xf numFmtId="0" fontId="26" fillId="0" borderId="0" xfId="0" applyFont="1" applyAlignment="1">
      <alignment horizontal="left"/>
    </xf>
    <xf numFmtId="0" fontId="26" fillId="0" borderId="0" xfId="0" applyFont="1"/>
    <xf numFmtId="0" fontId="0" fillId="0" borderId="0" xfId="0" applyAlignment="1">
      <alignment horizontal="left" indent="1"/>
    </xf>
    <xf numFmtId="0" fontId="10" fillId="0" borderId="0" xfId="0" applyFont="1"/>
  </cellXfs>
  <cellStyles count="3">
    <cellStyle name="Currency" xfId="2" builtinId="4"/>
    <cellStyle name="Normal" xfId="0" builtinId="0"/>
    <cellStyle name="Normal 2" xfId="1" xr:uid="{69FFFE40-8B9F-4BEA-AA07-634224A22C9A}"/>
  </cellStyles>
  <dxfs count="5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&quot;$&quot;#,##0"/>
      <fill>
        <patternFill patternType="none">
          <fgColor indexed="64"/>
          <bgColor indexed="65"/>
        </patternFill>
      </fill>
      <alignment horizontal="right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CF4FA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[BAS_Intermediate_Excel_Workbook_2025.xlsx]PivotTable!PivotTable2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Premium per Coverage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PivotTable!$Q$21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PivotTable!$P$22:$P$25</c:f>
              <c:strCache>
                <c:ptCount val="3"/>
                <c:pt idx="0">
                  <c:v>Collision</c:v>
                </c:pt>
                <c:pt idx="1">
                  <c:v>Comprehensive</c:v>
                </c:pt>
                <c:pt idx="2">
                  <c:v>Liability</c:v>
                </c:pt>
              </c:strCache>
            </c:strRef>
          </c:cat>
          <c:val>
            <c:numRef>
              <c:f>PivotTable!$Q$22:$Q$25</c:f>
              <c:numCache>
                <c:formatCode>"$"#,##0_);[Red]\("$"#,##0\)</c:formatCode>
                <c:ptCount val="3"/>
                <c:pt idx="0">
                  <c:v>115060</c:v>
                </c:pt>
                <c:pt idx="1">
                  <c:v>689170</c:v>
                </c:pt>
                <c:pt idx="2">
                  <c:v>146550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A-0C43-90B6-8729578B9C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[BAS_Intermediate_Excel_Workbook_2025.xlsx]Data Visualization!PivotTable7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Visualization'!$O$12</c:f>
              <c:strCache>
                <c:ptCount val="1"/>
                <c:pt idx="0">
                  <c:v>Sum of AnnualPremium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Visualization'!$N$13:$N$17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'Data Visualization'!$O$13:$O$17</c:f>
              <c:numCache>
                <c:formatCode>"$"#,##0_);[Red]\("$"#,##0\)</c:formatCode>
                <c:ptCount val="4"/>
                <c:pt idx="0">
                  <c:v>252190</c:v>
                </c:pt>
                <c:pt idx="1">
                  <c:v>223610</c:v>
                </c:pt>
                <c:pt idx="2">
                  <c:v>271780</c:v>
                </c:pt>
                <c:pt idx="3">
                  <c:v>203200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9-C943-BB00-5B34ABA2E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147135"/>
        <c:axId val="91871359"/>
      </c:barChart>
      <c:lineChart>
        <c:grouping val="standard"/>
        <c:varyColors val="0"/>
        <c:ser>
          <c:idx val="1"/>
          <c:order val="1"/>
          <c:tx>
            <c:strRef>
              <c:f>'Data Visualization'!$P$12</c:f>
              <c:strCache>
                <c:ptCount val="1"/>
                <c:pt idx="0">
                  <c:v>Average of AnnualPremium2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Visualization'!$N$13:$N$17</c:f>
              <c:strCache>
                <c:ptCount val="4"/>
                <c:pt idx="0">
                  <c:v>East</c:v>
                </c:pt>
                <c:pt idx="1">
                  <c:v>Midwest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'Data Visualization'!$P$13:$P$17</c:f>
              <c:numCache>
                <c:formatCode>"$"#,##0_);[Red]\("$"#,##0\)</c:formatCode>
                <c:ptCount val="4"/>
                <c:pt idx="0">
                  <c:v>2017.52</c:v>
                </c:pt>
                <c:pt idx="1">
                  <c:v>1788.88</c:v>
                </c:pt>
                <c:pt idx="2">
                  <c:v>2174.2399999999998</c:v>
                </c:pt>
                <c:pt idx="3">
                  <c:v>1625.6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F9-C943-BB00-5B34ABA2E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132223"/>
        <c:axId val="86138303"/>
      </c:lineChart>
      <c:catAx>
        <c:axId val="891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1359"/>
        <c:crosses val="autoZero"/>
        <c:auto val="1"/>
        <c:lblAlgn val="ctr"/>
        <c:lblOffset val="100"/>
        <c:noMultiLvlLbl val="0"/>
      </c:catAx>
      <c:valAx>
        <c:axId val="918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7135"/>
        <c:crosses val="autoZero"/>
        <c:crossBetween val="between"/>
      </c:valAx>
      <c:valAx>
        <c:axId val="86138303"/>
        <c:scaling>
          <c:orientation val="minMax"/>
        </c:scaling>
        <c:delete val="0"/>
        <c:axPos val="r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2223"/>
        <c:crosses val="max"/>
        <c:crossBetween val="between"/>
      </c:valAx>
      <c:catAx>
        <c:axId val="132132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1383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[BAS_Intermediate_Excel_Workbook_2025.xlsx]PivotTable!PivotTable4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 </a:t>
            </a:r>
            <a:r>
              <a:rPr lang="en-US"/>
              <a:t>Average Premium per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PivotTable!$Q$37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PivotTable!$P$38:$P$47</c:f>
              <c:strCache>
                <c:ptCount val="9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80-89</c:v>
                </c:pt>
                <c:pt idx="7">
                  <c:v>90-99</c:v>
                </c:pt>
                <c:pt idx="8">
                  <c:v>100-109</c:v>
                </c:pt>
              </c:strCache>
            </c:strRef>
          </c:cat>
          <c:val>
            <c:numRef>
              <c:f>PivotTable!$Q$38:$Q$47</c:f>
              <c:numCache>
                <c:formatCode>"$"#,##0_);[Red]\("$"#,##0\)</c:formatCode>
                <c:ptCount val="9"/>
                <c:pt idx="0">
                  <c:v>2601</c:v>
                </c:pt>
                <c:pt idx="1">
                  <c:v>2407.6404494382023</c:v>
                </c:pt>
                <c:pt idx="2">
                  <c:v>2117.9166666666665</c:v>
                </c:pt>
                <c:pt idx="3">
                  <c:v>1832.9473684210527</c:v>
                </c:pt>
                <c:pt idx="4">
                  <c:v>1449.8275862068965</c:v>
                </c:pt>
                <c:pt idx="5">
                  <c:v>1120</c:v>
                </c:pt>
                <c:pt idx="6">
                  <c:v>1339.7222222222222</c:v>
                </c:pt>
                <c:pt idx="7">
                  <c:v>1611.3636363636363</c:v>
                </c:pt>
                <c:pt idx="8">
                  <c:v>1270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8-AE4E-A0F4-244B2A8CA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067839"/>
        <c:axId val="77087167"/>
      </c:barChart>
      <c:catAx>
        <c:axId val="7706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7167"/>
        <c:crosses val="autoZero"/>
        <c:auto val="1"/>
        <c:lblAlgn val="ctr"/>
        <c:lblOffset val="100"/>
        <c:noMultiLvlLbl val="0"/>
      </c:catAx>
      <c:valAx>
        <c:axId val="7708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Premium</a:t>
            </a:r>
            <a:r>
              <a:rPr lang="en-US" baseline="0"/>
              <a:t>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Vehicle_Year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061036718453447"/>
                  <c:y val="0.24980402585884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Data!$D$2:$D$501</c:f>
              <c:numCache>
                <c:formatCode>General</c:formatCode>
                <c:ptCount val="500"/>
                <c:pt idx="0">
                  <c:v>2023</c:v>
                </c:pt>
                <c:pt idx="1">
                  <c:v>2018</c:v>
                </c:pt>
                <c:pt idx="2">
                  <c:v>2025</c:v>
                </c:pt>
                <c:pt idx="3">
                  <c:v>2021</c:v>
                </c:pt>
                <c:pt idx="4">
                  <c:v>2024</c:v>
                </c:pt>
                <c:pt idx="5">
                  <c:v>2017</c:v>
                </c:pt>
                <c:pt idx="6">
                  <c:v>2026</c:v>
                </c:pt>
                <c:pt idx="7">
                  <c:v>2024</c:v>
                </c:pt>
                <c:pt idx="8">
                  <c:v>2016</c:v>
                </c:pt>
                <c:pt idx="9">
                  <c:v>2026</c:v>
                </c:pt>
                <c:pt idx="10">
                  <c:v>2015</c:v>
                </c:pt>
                <c:pt idx="11">
                  <c:v>2025</c:v>
                </c:pt>
                <c:pt idx="12">
                  <c:v>2019</c:v>
                </c:pt>
                <c:pt idx="13">
                  <c:v>2026</c:v>
                </c:pt>
                <c:pt idx="14">
                  <c:v>2018</c:v>
                </c:pt>
                <c:pt idx="15">
                  <c:v>2024</c:v>
                </c:pt>
                <c:pt idx="16">
                  <c:v>2016</c:v>
                </c:pt>
                <c:pt idx="17">
                  <c:v>2025</c:v>
                </c:pt>
                <c:pt idx="18">
                  <c:v>2017</c:v>
                </c:pt>
                <c:pt idx="19">
                  <c:v>2024</c:v>
                </c:pt>
                <c:pt idx="20">
                  <c:v>2024</c:v>
                </c:pt>
                <c:pt idx="21">
                  <c:v>2016</c:v>
                </c:pt>
                <c:pt idx="22">
                  <c:v>2025</c:v>
                </c:pt>
                <c:pt idx="23">
                  <c:v>2020</c:v>
                </c:pt>
                <c:pt idx="24">
                  <c:v>2019</c:v>
                </c:pt>
                <c:pt idx="25">
                  <c:v>2015</c:v>
                </c:pt>
                <c:pt idx="26">
                  <c:v>2026</c:v>
                </c:pt>
                <c:pt idx="27">
                  <c:v>2025</c:v>
                </c:pt>
                <c:pt idx="28">
                  <c:v>2018</c:v>
                </c:pt>
                <c:pt idx="29">
                  <c:v>2024</c:v>
                </c:pt>
                <c:pt idx="30">
                  <c:v>2017</c:v>
                </c:pt>
                <c:pt idx="31">
                  <c:v>2026</c:v>
                </c:pt>
                <c:pt idx="32">
                  <c:v>2020</c:v>
                </c:pt>
                <c:pt idx="33">
                  <c:v>2026</c:v>
                </c:pt>
                <c:pt idx="34">
                  <c:v>2017</c:v>
                </c:pt>
                <c:pt idx="35">
                  <c:v>2025</c:v>
                </c:pt>
                <c:pt idx="36">
                  <c:v>2015</c:v>
                </c:pt>
                <c:pt idx="37">
                  <c:v>2026</c:v>
                </c:pt>
                <c:pt idx="38">
                  <c:v>2019</c:v>
                </c:pt>
                <c:pt idx="39">
                  <c:v>2024</c:v>
                </c:pt>
                <c:pt idx="40">
                  <c:v>2025</c:v>
                </c:pt>
                <c:pt idx="41">
                  <c:v>2017</c:v>
                </c:pt>
                <c:pt idx="42">
                  <c:v>2026</c:v>
                </c:pt>
                <c:pt idx="43">
                  <c:v>2021</c:v>
                </c:pt>
                <c:pt idx="44">
                  <c:v>2024</c:v>
                </c:pt>
                <c:pt idx="45">
                  <c:v>2016</c:v>
                </c:pt>
                <c:pt idx="46">
                  <c:v>2026</c:v>
                </c:pt>
                <c:pt idx="47">
                  <c:v>2025</c:v>
                </c:pt>
                <c:pt idx="48">
                  <c:v>2015</c:v>
                </c:pt>
                <c:pt idx="49">
                  <c:v>2025</c:v>
                </c:pt>
                <c:pt idx="50">
                  <c:v>2016</c:v>
                </c:pt>
                <c:pt idx="51">
                  <c:v>2026</c:v>
                </c:pt>
                <c:pt idx="52">
                  <c:v>2021</c:v>
                </c:pt>
                <c:pt idx="53">
                  <c:v>2026</c:v>
                </c:pt>
                <c:pt idx="54">
                  <c:v>2016</c:v>
                </c:pt>
                <c:pt idx="55">
                  <c:v>2025</c:v>
                </c:pt>
                <c:pt idx="56">
                  <c:v>2017</c:v>
                </c:pt>
                <c:pt idx="57">
                  <c:v>2026</c:v>
                </c:pt>
                <c:pt idx="58">
                  <c:v>2020</c:v>
                </c:pt>
                <c:pt idx="59">
                  <c:v>2025</c:v>
                </c:pt>
                <c:pt idx="60">
                  <c:v>2025</c:v>
                </c:pt>
                <c:pt idx="61">
                  <c:v>2018</c:v>
                </c:pt>
                <c:pt idx="62">
                  <c:v>2026</c:v>
                </c:pt>
                <c:pt idx="63">
                  <c:v>2022</c:v>
                </c:pt>
                <c:pt idx="64">
                  <c:v>2024</c:v>
                </c:pt>
                <c:pt idx="65">
                  <c:v>2017</c:v>
                </c:pt>
                <c:pt idx="66">
                  <c:v>2026</c:v>
                </c:pt>
                <c:pt idx="67">
                  <c:v>2025</c:v>
                </c:pt>
                <c:pt idx="68">
                  <c:v>2016</c:v>
                </c:pt>
                <c:pt idx="69">
                  <c:v>2026</c:v>
                </c:pt>
                <c:pt idx="70">
                  <c:v>2018</c:v>
                </c:pt>
                <c:pt idx="71">
                  <c:v>2026</c:v>
                </c:pt>
                <c:pt idx="72">
                  <c:v>2022</c:v>
                </c:pt>
                <c:pt idx="73">
                  <c:v>2026</c:v>
                </c:pt>
                <c:pt idx="74">
                  <c:v>2018</c:v>
                </c:pt>
                <c:pt idx="75">
                  <c:v>2025</c:v>
                </c:pt>
                <c:pt idx="76">
                  <c:v>2016</c:v>
                </c:pt>
                <c:pt idx="77">
                  <c:v>2026</c:v>
                </c:pt>
                <c:pt idx="78">
                  <c:v>2021</c:v>
                </c:pt>
                <c:pt idx="79">
                  <c:v>2026</c:v>
                </c:pt>
                <c:pt idx="80">
                  <c:v>2026</c:v>
                </c:pt>
                <c:pt idx="81">
                  <c:v>2019</c:v>
                </c:pt>
                <c:pt idx="82">
                  <c:v>2026</c:v>
                </c:pt>
                <c:pt idx="83">
                  <c:v>2023</c:v>
                </c:pt>
                <c:pt idx="84">
                  <c:v>2025</c:v>
                </c:pt>
                <c:pt idx="85">
                  <c:v>2018</c:v>
                </c:pt>
                <c:pt idx="86">
                  <c:v>2026</c:v>
                </c:pt>
                <c:pt idx="87">
                  <c:v>2026</c:v>
                </c:pt>
                <c:pt idx="88">
                  <c:v>2017</c:v>
                </c:pt>
                <c:pt idx="89">
                  <c:v>2026</c:v>
                </c:pt>
                <c:pt idx="90">
                  <c:v>2019</c:v>
                </c:pt>
                <c:pt idx="91">
                  <c:v>2026</c:v>
                </c:pt>
                <c:pt idx="92">
                  <c:v>2023</c:v>
                </c:pt>
                <c:pt idx="93">
                  <c:v>2026</c:v>
                </c:pt>
                <c:pt idx="94">
                  <c:v>2019</c:v>
                </c:pt>
                <c:pt idx="95">
                  <c:v>2026</c:v>
                </c:pt>
                <c:pt idx="96">
                  <c:v>2017</c:v>
                </c:pt>
                <c:pt idx="97">
                  <c:v>2026</c:v>
                </c:pt>
                <c:pt idx="98">
                  <c:v>2022</c:v>
                </c:pt>
                <c:pt idx="99">
                  <c:v>2026</c:v>
                </c:pt>
                <c:pt idx="100">
                  <c:v>2024</c:v>
                </c:pt>
                <c:pt idx="101">
                  <c:v>2020</c:v>
                </c:pt>
                <c:pt idx="102">
                  <c:v>2025</c:v>
                </c:pt>
                <c:pt idx="103">
                  <c:v>2021</c:v>
                </c:pt>
                <c:pt idx="104">
                  <c:v>2025</c:v>
                </c:pt>
                <c:pt idx="105">
                  <c:v>2019</c:v>
                </c:pt>
                <c:pt idx="106">
                  <c:v>2026</c:v>
                </c:pt>
                <c:pt idx="107">
                  <c:v>2025</c:v>
                </c:pt>
                <c:pt idx="108">
                  <c:v>2020</c:v>
                </c:pt>
                <c:pt idx="109">
                  <c:v>2026</c:v>
                </c:pt>
                <c:pt idx="110">
                  <c:v>2017</c:v>
                </c:pt>
                <c:pt idx="111">
                  <c:v>2025</c:v>
                </c:pt>
                <c:pt idx="112">
                  <c:v>2021</c:v>
                </c:pt>
                <c:pt idx="113">
                  <c:v>2026</c:v>
                </c:pt>
                <c:pt idx="114">
                  <c:v>2018</c:v>
                </c:pt>
                <c:pt idx="115">
                  <c:v>2025</c:v>
                </c:pt>
                <c:pt idx="116">
                  <c:v>2019</c:v>
                </c:pt>
                <c:pt idx="117">
                  <c:v>2026</c:v>
                </c:pt>
                <c:pt idx="118">
                  <c:v>2021</c:v>
                </c:pt>
                <c:pt idx="119">
                  <c:v>2025</c:v>
                </c:pt>
                <c:pt idx="120">
                  <c:v>2026</c:v>
                </c:pt>
                <c:pt idx="121">
                  <c:v>2018</c:v>
                </c:pt>
                <c:pt idx="122">
                  <c:v>2026</c:v>
                </c:pt>
                <c:pt idx="123">
                  <c:v>2022</c:v>
                </c:pt>
                <c:pt idx="124">
                  <c:v>2024</c:v>
                </c:pt>
                <c:pt idx="125">
                  <c:v>2017</c:v>
                </c:pt>
                <c:pt idx="126">
                  <c:v>2026</c:v>
                </c:pt>
                <c:pt idx="127">
                  <c:v>2025</c:v>
                </c:pt>
                <c:pt idx="128">
                  <c:v>2019</c:v>
                </c:pt>
                <c:pt idx="129">
                  <c:v>2026</c:v>
                </c:pt>
                <c:pt idx="130">
                  <c:v>2016</c:v>
                </c:pt>
                <c:pt idx="131">
                  <c:v>2026</c:v>
                </c:pt>
                <c:pt idx="132">
                  <c:v>2025</c:v>
                </c:pt>
                <c:pt idx="133">
                  <c:v>2026</c:v>
                </c:pt>
                <c:pt idx="134">
                  <c:v>2019</c:v>
                </c:pt>
                <c:pt idx="135">
                  <c:v>2026</c:v>
                </c:pt>
                <c:pt idx="136">
                  <c:v>2020</c:v>
                </c:pt>
                <c:pt idx="137">
                  <c:v>2026</c:v>
                </c:pt>
                <c:pt idx="138">
                  <c:v>2022</c:v>
                </c:pt>
                <c:pt idx="139">
                  <c:v>2025</c:v>
                </c:pt>
                <c:pt idx="140">
                  <c:v>2026</c:v>
                </c:pt>
                <c:pt idx="141">
                  <c:v>2019</c:v>
                </c:pt>
                <c:pt idx="142">
                  <c:v>2026</c:v>
                </c:pt>
                <c:pt idx="143">
                  <c:v>2023</c:v>
                </c:pt>
                <c:pt idx="144">
                  <c:v>2025</c:v>
                </c:pt>
                <c:pt idx="145">
                  <c:v>2018</c:v>
                </c:pt>
                <c:pt idx="146">
                  <c:v>2026</c:v>
                </c:pt>
                <c:pt idx="147">
                  <c:v>2026</c:v>
                </c:pt>
                <c:pt idx="148">
                  <c:v>2021</c:v>
                </c:pt>
                <c:pt idx="149">
                  <c:v>2026</c:v>
                </c:pt>
                <c:pt idx="150">
                  <c:v>2018</c:v>
                </c:pt>
                <c:pt idx="151">
                  <c:v>2026</c:v>
                </c:pt>
                <c:pt idx="152">
                  <c:v>2025</c:v>
                </c:pt>
                <c:pt idx="153">
                  <c:v>2026</c:v>
                </c:pt>
                <c:pt idx="154">
                  <c:v>2020</c:v>
                </c:pt>
                <c:pt idx="155">
                  <c:v>2026</c:v>
                </c:pt>
                <c:pt idx="156">
                  <c:v>2021</c:v>
                </c:pt>
                <c:pt idx="157">
                  <c:v>2026</c:v>
                </c:pt>
                <c:pt idx="158">
                  <c:v>2023</c:v>
                </c:pt>
                <c:pt idx="159">
                  <c:v>2025</c:v>
                </c:pt>
                <c:pt idx="160">
                  <c:v>2026</c:v>
                </c:pt>
                <c:pt idx="161">
                  <c:v>2020</c:v>
                </c:pt>
                <c:pt idx="162">
                  <c:v>2026</c:v>
                </c:pt>
                <c:pt idx="163">
                  <c:v>2024</c:v>
                </c:pt>
                <c:pt idx="164">
                  <c:v>2025</c:v>
                </c:pt>
                <c:pt idx="165">
                  <c:v>2019</c:v>
                </c:pt>
                <c:pt idx="166">
                  <c:v>2026</c:v>
                </c:pt>
                <c:pt idx="167">
                  <c:v>2026</c:v>
                </c:pt>
                <c:pt idx="168">
                  <c:v>2022</c:v>
                </c:pt>
                <c:pt idx="169">
                  <c:v>2026</c:v>
                </c:pt>
                <c:pt idx="170">
                  <c:v>2020</c:v>
                </c:pt>
                <c:pt idx="171">
                  <c:v>2026</c:v>
                </c:pt>
                <c:pt idx="172">
                  <c:v>2025</c:v>
                </c:pt>
                <c:pt idx="173">
                  <c:v>2026</c:v>
                </c:pt>
                <c:pt idx="174">
                  <c:v>2021</c:v>
                </c:pt>
                <c:pt idx="175">
                  <c:v>2026</c:v>
                </c:pt>
                <c:pt idx="176">
                  <c:v>2022</c:v>
                </c:pt>
                <c:pt idx="177">
                  <c:v>2026</c:v>
                </c:pt>
                <c:pt idx="178">
                  <c:v>2024</c:v>
                </c:pt>
                <c:pt idx="179">
                  <c:v>2026</c:v>
                </c:pt>
                <c:pt idx="180">
                  <c:v>2026</c:v>
                </c:pt>
                <c:pt idx="181">
                  <c:v>2021</c:v>
                </c:pt>
                <c:pt idx="182">
                  <c:v>2026</c:v>
                </c:pt>
                <c:pt idx="183">
                  <c:v>2025</c:v>
                </c:pt>
                <c:pt idx="184">
                  <c:v>2025</c:v>
                </c:pt>
                <c:pt idx="185">
                  <c:v>2020</c:v>
                </c:pt>
                <c:pt idx="186">
                  <c:v>2026</c:v>
                </c:pt>
                <c:pt idx="187">
                  <c:v>2026</c:v>
                </c:pt>
                <c:pt idx="188">
                  <c:v>2023</c:v>
                </c:pt>
                <c:pt idx="189">
                  <c:v>2026</c:v>
                </c:pt>
                <c:pt idx="190">
                  <c:v>2021</c:v>
                </c:pt>
                <c:pt idx="191">
                  <c:v>2026</c:v>
                </c:pt>
                <c:pt idx="192">
                  <c:v>2026</c:v>
                </c:pt>
                <c:pt idx="193">
                  <c:v>2026</c:v>
                </c:pt>
                <c:pt idx="194">
                  <c:v>2022</c:v>
                </c:pt>
                <c:pt idx="195">
                  <c:v>2026</c:v>
                </c:pt>
                <c:pt idx="196">
                  <c:v>2023</c:v>
                </c:pt>
                <c:pt idx="197">
                  <c:v>2026</c:v>
                </c:pt>
                <c:pt idx="198">
                  <c:v>2025</c:v>
                </c:pt>
                <c:pt idx="199">
                  <c:v>2026</c:v>
                </c:pt>
                <c:pt idx="200">
                  <c:v>2024</c:v>
                </c:pt>
                <c:pt idx="201">
                  <c:v>2021</c:v>
                </c:pt>
                <c:pt idx="202">
                  <c:v>2026</c:v>
                </c:pt>
                <c:pt idx="203">
                  <c:v>2024</c:v>
                </c:pt>
                <c:pt idx="204">
                  <c:v>2025</c:v>
                </c:pt>
                <c:pt idx="205">
                  <c:v>2019</c:v>
                </c:pt>
                <c:pt idx="206">
                  <c:v>2026</c:v>
                </c:pt>
                <c:pt idx="207">
                  <c:v>2026</c:v>
                </c:pt>
                <c:pt idx="208">
                  <c:v>2024</c:v>
                </c:pt>
                <c:pt idx="209">
                  <c:v>2026</c:v>
                </c:pt>
                <c:pt idx="210">
                  <c:v>2020</c:v>
                </c:pt>
                <c:pt idx="211">
                  <c:v>2026</c:v>
                </c:pt>
                <c:pt idx="212">
                  <c:v>2026</c:v>
                </c:pt>
                <c:pt idx="213">
                  <c:v>2026</c:v>
                </c:pt>
                <c:pt idx="214">
                  <c:v>2020</c:v>
                </c:pt>
                <c:pt idx="215">
                  <c:v>2026</c:v>
                </c:pt>
                <c:pt idx="216">
                  <c:v>2021</c:v>
                </c:pt>
                <c:pt idx="217">
                  <c:v>2026</c:v>
                </c:pt>
                <c:pt idx="218">
                  <c:v>2026</c:v>
                </c:pt>
                <c:pt idx="219">
                  <c:v>2026</c:v>
                </c:pt>
                <c:pt idx="220">
                  <c:v>2025</c:v>
                </c:pt>
                <c:pt idx="221">
                  <c:v>2022</c:v>
                </c:pt>
                <c:pt idx="222">
                  <c:v>2026</c:v>
                </c:pt>
                <c:pt idx="223">
                  <c:v>2025</c:v>
                </c:pt>
                <c:pt idx="224">
                  <c:v>2025</c:v>
                </c:pt>
                <c:pt idx="225">
                  <c:v>2020</c:v>
                </c:pt>
                <c:pt idx="226">
                  <c:v>2026</c:v>
                </c:pt>
                <c:pt idx="227">
                  <c:v>2026</c:v>
                </c:pt>
                <c:pt idx="228">
                  <c:v>2025</c:v>
                </c:pt>
                <c:pt idx="229">
                  <c:v>2026</c:v>
                </c:pt>
                <c:pt idx="230">
                  <c:v>2021</c:v>
                </c:pt>
                <c:pt idx="231">
                  <c:v>2026</c:v>
                </c:pt>
                <c:pt idx="232">
                  <c:v>2026</c:v>
                </c:pt>
                <c:pt idx="233">
                  <c:v>2026</c:v>
                </c:pt>
                <c:pt idx="234">
                  <c:v>2021</c:v>
                </c:pt>
                <c:pt idx="235">
                  <c:v>2026</c:v>
                </c:pt>
                <c:pt idx="236">
                  <c:v>2022</c:v>
                </c:pt>
                <c:pt idx="237">
                  <c:v>2026</c:v>
                </c:pt>
                <c:pt idx="238">
                  <c:v>2026</c:v>
                </c:pt>
                <c:pt idx="239">
                  <c:v>2026</c:v>
                </c:pt>
                <c:pt idx="240">
                  <c:v>2026</c:v>
                </c:pt>
                <c:pt idx="241">
                  <c:v>2023</c:v>
                </c:pt>
                <c:pt idx="242">
                  <c:v>2026</c:v>
                </c:pt>
                <c:pt idx="243">
                  <c:v>2026</c:v>
                </c:pt>
                <c:pt idx="244">
                  <c:v>2025</c:v>
                </c:pt>
                <c:pt idx="245">
                  <c:v>2021</c:v>
                </c:pt>
                <c:pt idx="246">
                  <c:v>2026</c:v>
                </c:pt>
                <c:pt idx="247">
                  <c:v>2026</c:v>
                </c:pt>
                <c:pt idx="248">
                  <c:v>2026</c:v>
                </c:pt>
                <c:pt idx="249">
                  <c:v>2026</c:v>
                </c:pt>
                <c:pt idx="250">
                  <c:v>2022</c:v>
                </c:pt>
                <c:pt idx="251">
                  <c:v>2026</c:v>
                </c:pt>
                <c:pt idx="252">
                  <c:v>2026</c:v>
                </c:pt>
                <c:pt idx="253">
                  <c:v>2026</c:v>
                </c:pt>
                <c:pt idx="254">
                  <c:v>2022</c:v>
                </c:pt>
                <c:pt idx="255">
                  <c:v>2026</c:v>
                </c:pt>
                <c:pt idx="256">
                  <c:v>2023</c:v>
                </c:pt>
                <c:pt idx="257">
                  <c:v>2026</c:v>
                </c:pt>
                <c:pt idx="258">
                  <c:v>2026</c:v>
                </c:pt>
                <c:pt idx="259">
                  <c:v>2026</c:v>
                </c:pt>
                <c:pt idx="260">
                  <c:v>2026</c:v>
                </c:pt>
                <c:pt idx="261">
                  <c:v>2024</c:v>
                </c:pt>
                <c:pt idx="262">
                  <c:v>2026</c:v>
                </c:pt>
                <c:pt idx="263">
                  <c:v>2026</c:v>
                </c:pt>
                <c:pt idx="264">
                  <c:v>2026</c:v>
                </c:pt>
                <c:pt idx="265">
                  <c:v>2022</c:v>
                </c:pt>
                <c:pt idx="266">
                  <c:v>2026</c:v>
                </c:pt>
                <c:pt idx="267">
                  <c:v>2026</c:v>
                </c:pt>
                <c:pt idx="268">
                  <c:v>2026</c:v>
                </c:pt>
                <c:pt idx="269">
                  <c:v>2026</c:v>
                </c:pt>
                <c:pt idx="270">
                  <c:v>2023</c:v>
                </c:pt>
                <c:pt idx="271">
                  <c:v>2026</c:v>
                </c:pt>
                <c:pt idx="272">
                  <c:v>2026</c:v>
                </c:pt>
                <c:pt idx="273">
                  <c:v>2026</c:v>
                </c:pt>
                <c:pt idx="274">
                  <c:v>2023</c:v>
                </c:pt>
                <c:pt idx="275">
                  <c:v>2026</c:v>
                </c:pt>
                <c:pt idx="276">
                  <c:v>2024</c:v>
                </c:pt>
                <c:pt idx="277">
                  <c:v>2026</c:v>
                </c:pt>
                <c:pt idx="278">
                  <c:v>2026</c:v>
                </c:pt>
                <c:pt idx="279">
                  <c:v>2026</c:v>
                </c:pt>
                <c:pt idx="280">
                  <c:v>2026</c:v>
                </c:pt>
                <c:pt idx="281">
                  <c:v>2025</c:v>
                </c:pt>
                <c:pt idx="282">
                  <c:v>2026</c:v>
                </c:pt>
                <c:pt idx="283">
                  <c:v>2026</c:v>
                </c:pt>
                <c:pt idx="284">
                  <c:v>2026</c:v>
                </c:pt>
                <c:pt idx="285">
                  <c:v>2023</c:v>
                </c:pt>
                <c:pt idx="286">
                  <c:v>2026</c:v>
                </c:pt>
                <c:pt idx="287">
                  <c:v>2026</c:v>
                </c:pt>
                <c:pt idx="288">
                  <c:v>2026</c:v>
                </c:pt>
                <c:pt idx="289">
                  <c:v>2026</c:v>
                </c:pt>
                <c:pt idx="290">
                  <c:v>2024</c:v>
                </c:pt>
                <c:pt idx="291">
                  <c:v>2026</c:v>
                </c:pt>
                <c:pt idx="292">
                  <c:v>2026</c:v>
                </c:pt>
                <c:pt idx="293">
                  <c:v>2026</c:v>
                </c:pt>
                <c:pt idx="294">
                  <c:v>2024</c:v>
                </c:pt>
                <c:pt idx="295">
                  <c:v>2026</c:v>
                </c:pt>
                <c:pt idx="296">
                  <c:v>2025</c:v>
                </c:pt>
                <c:pt idx="297">
                  <c:v>2026</c:v>
                </c:pt>
                <c:pt idx="298">
                  <c:v>2026</c:v>
                </c:pt>
                <c:pt idx="299">
                  <c:v>2026</c:v>
                </c:pt>
                <c:pt idx="300">
                  <c:v>2026</c:v>
                </c:pt>
                <c:pt idx="301">
                  <c:v>2026</c:v>
                </c:pt>
                <c:pt idx="302">
                  <c:v>2026</c:v>
                </c:pt>
                <c:pt idx="303">
                  <c:v>2026</c:v>
                </c:pt>
                <c:pt idx="304">
                  <c:v>2026</c:v>
                </c:pt>
                <c:pt idx="305">
                  <c:v>2024</c:v>
                </c:pt>
                <c:pt idx="306">
                  <c:v>2026</c:v>
                </c:pt>
                <c:pt idx="307">
                  <c:v>2026</c:v>
                </c:pt>
                <c:pt idx="308">
                  <c:v>2026</c:v>
                </c:pt>
                <c:pt idx="309">
                  <c:v>2026</c:v>
                </c:pt>
                <c:pt idx="310">
                  <c:v>2025</c:v>
                </c:pt>
                <c:pt idx="311">
                  <c:v>2026</c:v>
                </c:pt>
                <c:pt idx="312">
                  <c:v>2026</c:v>
                </c:pt>
                <c:pt idx="313">
                  <c:v>2026</c:v>
                </c:pt>
                <c:pt idx="314">
                  <c:v>2025</c:v>
                </c:pt>
                <c:pt idx="315">
                  <c:v>2026</c:v>
                </c:pt>
                <c:pt idx="316">
                  <c:v>2026</c:v>
                </c:pt>
                <c:pt idx="317">
                  <c:v>2026</c:v>
                </c:pt>
                <c:pt idx="318">
                  <c:v>2026</c:v>
                </c:pt>
                <c:pt idx="319">
                  <c:v>2026</c:v>
                </c:pt>
                <c:pt idx="320">
                  <c:v>2026</c:v>
                </c:pt>
                <c:pt idx="321">
                  <c:v>2026</c:v>
                </c:pt>
                <c:pt idx="322">
                  <c:v>2026</c:v>
                </c:pt>
                <c:pt idx="323">
                  <c:v>2026</c:v>
                </c:pt>
                <c:pt idx="324">
                  <c:v>2026</c:v>
                </c:pt>
                <c:pt idx="325">
                  <c:v>2025</c:v>
                </c:pt>
                <c:pt idx="326">
                  <c:v>2026</c:v>
                </c:pt>
                <c:pt idx="327">
                  <c:v>2026</c:v>
                </c:pt>
                <c:pt idx="328">
                  <c:v>2026</c:v>
                </c:pt>
                <c:pt idx="329">
                  <c:v>2026</c:v>
                </c:pt>
                <c:pt idx="330">
                  <c:v>2026</c:v>
                </c:pt>
                <c:pt idx="331">
                  <c:v>2026</c:v>
                </c:pt>
                <c:pt idx="332">
                  <c:v>2026</c:v>
                </c:pt>
                <c:pt idx="333">
                  <c:v>2026</c:v>
                </c:pt>
                <c:pt idx="334">
                  <c:v>2026</c:v>
                </c:pt>
                <c:pt idx="335">
                  <c:v>2026</c:v>
                </c:pt>
                <c:pt idx="336">
                  <c:v>2026</c:v>
                </c:pt>
                <c:pt idx="337">
                  <c:v>2026</c:v>
                </c:pt>
                <c:pt idx="338">
                  <c:v>2026</c:v>
                </c:pt>
                <c:pt idx="339">
                  <c:v>2026</c:v>
                </c:pt>
                <c:pt idx="340">
                  <c:v>2026</c:v>
                </c:pt>
                <c:pt idx="341">
                  <c:v>2026</c:v>
                </c:pt>
                <c:pt idx="342">
                  <c:v>2026</c:v>
                </c:pt>
                <c:pt idx="343">
                  <c:v>2026</c:v>
                </c:pt>
                <c:pt idx="344">
                  <c:v>2026</c:v>
                </c:pt>
                <c:pt idx="345">
                  <c:v>2026</c:v>
                </c:pt>
                <c:pt idx="346">
                  <c:v>2026</c:v>
                </c:pt>
                <c:pt idx="347">
                  <c:v>2026</c:v>
                </c:pt>
                <c:pt idx="348">
                  <c:v>2026</c:v>
                </c:pt>
                <c:pt idx="349">
                  <c:v>2026</c:v>
                </c:pt>
                <c:pt idx="350">
                  <c:v>2026</c:v>
                </c:pt>
                <c:pt idx="351">
                  <c:v>2026</c:v>
                </c:pt>
                <c:pt idx="352">
                  <c:v>2026</c:v>
                </c:pt>
                <c:pt idx="353">
                  <c:v>2026</c:v>
                </c:pt>
                <c:pt idx="354">
                  <c:v>2026</c:v>
                </c:pt>
                <c:pt idx="355">
                  <c:v>2026</c:v>
                </c:pt>
                <c:pt idx="356">
                  <c:v>2026</c:v>
                </c:pt>
                <c:pt idx="357">
                  <c:v>2026</c:v>
                </c:pt>
                <c:pt idx="358">
                  <c:v>2026</c:v>
                </c:pt>
                <c:pt idx="359">
                  <c:v>2026</c:v>
                </c:pt>
                <c:pt idx="360">
                  <c:v>2026</c:v>
                </c:pt>
                <c:pt idx="361">
                  <c:v>2026</c:v>
                </c:pt>
                <c:pt idx="362">
                  <c:v>2026</c:v>
                </c:pt>
                <c:pt idx="363">
                  <c:v>2026</c:v>
                </c:pt>
                <c:pt idx="364">
                  <c:v>2026</c:v>
                </c:pt>
                <c:pt idx="365">
                  <c:v>2026</c:v>
                </c:pt>
                <c:pt idx="366">
                  <c:v>2026</c:v>
                </c:pt>
                <c:pt idx="367">
                  <c:v>2026</c:v>
                </c:pt>
                <c:pt idx="368">
                  <c:v>2026</c:v>
                </c:pt>
                <c:pt idx="369">
                  <c:v>2026</c:v>
                </c:pt>
                <c:pt idx="370">
                  <c:v>2026</c:v>
                </c:pt>
                <c:pt idx="371">
                  <c:v>2026</c:v>
                </c:pt>
                <c:pt idx="372">
                  <c:v>2026</c:v>
                </c:pt>
                <c:pt idx="373">
                  <c:v>2026</c:v>
                </c:pt>
                <c:pt idx="374">
                  <c:v>2026</c:v>
                </c:pt>
                <c:pt idx="375">
                  <c:v>2026</c:v>
                </c:pt>
                <c:pt idx="376">
                  <c:v>2026</c:v>
                </c:pt>
                <c:pt idx="377">
                  <c:v>2026</c:v>
                </c:pt>
                <c:pt idx="378">
                  <c:v>2026</c:v>
                </c:pt>
                <c:pt idx="379">
                  <c:v>2026</c:v>
                </c:pt>
                <c:pt idx="380">
                  <c:v>2026</c:v>
                </c:pt>
                <c:pt idx="381">
                  <c:v>2026</c:v>
                </c:pt>
                <c:pt idx="382">
                  <c:v>2026</c:v>
                </c:pt>
                <c:pt idx="383">
                  <c:v>2026</c:v>
                </c:pt>
                <c:pt idx="384">
                  <c:v>2026</c:v>
                </c:pt>
                <c:pt idx="385">
                  <c:v>2026</c:v>
                </c:pt>
                <c:pt idx="386">
                  <c:v>2026</c:v>
                </c:pt>
                <c:pt idx="387">
                  <c:v>2026</c:v>
                </c:pt>
                <c:pt idx="388">
                  <c:v>2026</c:v>
                </c:pt>
                <c:pt idx="389">
                  <c:v>2026</c:v>
                </c:pt>
                <c:pt idx="390">
                  <c:v>2026</c:v>
                </c:pt>
                <c:pt idx="391">
                  <c:v>2026</c:v>
                </c:pt>
                <c:pt idx="392">
                  <c:v>2026</c:v>
                </c:pt>
                <c:pt idx="393">
                  <c:v>2026</c:v>
                </c:pt>
                <c:pt idx="394">
                  <c:v>2026</c:v>
                </c:pt>
                <c:pt idx="395">
                  <c:v>2026</c:v>
                </c:pt>
                <c:pt idx="396">
                  <c:v>2026</c:v>
                </c:pt>
                <c:pt idx="397">
                  <c:v>2026</c:v>
                </c:pt>
                <c:pt idx="398">
                  <c:v>2026</c:v>
                </c:pt>
                <c:pt idx="399">
                  <c:v>2026</c:v>
                </c:pt>
                <c:pt idx="400">
                  <c:v>2026</c:v>
                </c:pt>
                <c:pt idx="401">
                  <c:v>2026</c:v>
                </c:pt>
                <c:pt idx="402">
                  <c:v>2026</c:v>
                </c:pt>
                <c:pt idx="403">
                  <c:v>2026</c:v>
                </c:pt>
                <c:pt idx="404">
                  <c:v>2026</c:v>
                </c:pt>
                <c:pt idx="405">
                  <c:v>2026</c:v>
                </c:pt>
                <c:pt idx="406">
                  <c:v>2026</c:v>
                </c:pt>
                <c:pt idx="407">
                  <c:v>2026</c:v>
                </c:pt>
                <c:pt idx="408">
                  <c:v>2026</c:v>
                </c:pt>
                <c:pt idx="409">
                  <c:v>2026</c:v>
                </c:pt>
                <c:pt idx="410">
                  <c:v>2026</c:v>
                </c:pt>
                <c:pt idx="411">
                  <c:v>2026</c:v>
                </c:pt>
                <c:pt idx="412">
                  <c:v>2026</c:v>
                </c:pt>
                <c:pt idx="413">
                  <c:v>2026</c:v>
                </c:pt>
                <c:pt idx="414">
                  <c:v>2026</c:v>
                </c:pt>
                <c:pt idx="415">
                  <c:v>2026</c:v>
                </c:pt>
                <c:pt idx="416">
                  <c:v>2026</c:v>
                </c:pt>
                <c:pt idx="417">
                  <c:v>2026</c:v>
                </c:pt>
                <c:pt idx="418">
                  <c:v>2026</c:v>
                </c:pt>
                <c:pt idx="419">
                  <c:v>2026</c:v>
                </c:pt>
                <c:pt idx="420">
                  <c:v>2026</c:v>
                </c:pt>
                <c:pt idx="421">
                  <c:v>2026</c:v>
                </c:pt>
                <c:pt idx="422">
                  <c:v>2026</c:v>
                </c:pt>
                <c:pt idx="423">
                  <c:v>2026</c:v>
                </c:pt>
                <c:pt idx="424">
                  <c:v>2026</c:v>
                </c:pt>
                <c:pt idx="425">
                  <c:v>2026</c:v>
                </c:pt>
                <c:pt idx="426">
                  <c:v>2026</c:v>
                </c:pt>
                <c:pt idx="427">
                  <c:v>2026</c:v>
                </c:pt>
                <c:pt idx="428">
                  <c:v>2026</c:v>
                </c:pt>
                <c:pt idx="429">
                  <c:v>2026</c:v>
                </c:pt>
                <c:pt idx="430">
                  <c:v>2026</c:v>
                </c:pt>
                <c:pt idx="431">
                  <c:v>2026</c:v>
                </c:pt>
                <c:pt idx="432">
                  <c:v>2026</c:v>
                </c:pt>
                <c:pt idx="433">
                  <c:v>2026</c:v>
                </c:pt>
                <c:pt idx="434">
                  <c:v>2026</c:v>
                </c:pt>
                <c:pt idx="435">
                  <c:v>2026</c:v>
                </c:pt>
                <c:pt idx="436">
                  <c:v>2026</c:v>
                </c:pt>
                <c:pt idx="437">
                  <c:v>2026</c:v>
                </c:pt>
                <c:pt idx="438">
                  <c:v>2026</c:v>
                </c:pt>
                <c:pt idx="439">
                  <c:v>2026</c:v>
                </c:pt>
                <c:pt idx="440">
                  <c:v>2026</c:v>
                </c:pt>
                <c:pt idx="441">
                  <c:v>2026</c:v>
                </c:pt>
                <c:pt idx="442">
                  <c:v>2026</c:v>
                </c:pt>
                <c:pt idx="443">
                  <c:v>2026</c:v>
                </c:pt>
                <c:pt idx="444">
                  <c:v>2026</c:v>
                </c:pt>
                <c:pt idx="445">
                  <c:v>2026</c:v>
                </c:pt>
                <c:pt idx="446">
                  <c:v>2026</c:v>
                </c:pt>
                <c:pt idx="447">
                  <c:v>2026</c:v>
                </c:pt>
                <c:pt idx="448">
                  <c:v>2026</c:v>
                </c:pt>
                <c:pt idx="449">
                  <c:v>2026</c:v>
                </c:pt>
                <c:pt idx="450">
                  <c:v>2026</c:v>
                </c:pt>
                <c:pt idx="451">
                  <c:v>2026</c:v>
                </c:pt>
                <c:pt idx="452">
                  <c:v>2026</c:v>
                </c:pt>
                <c:pt idx="453">
                  <c:v>2026</c:v>
                </c:pt>
                <c:pt idx="454">
                  <c:v>2026</c:v>
                </c:pt>
                <c:pt idx="455">
                  <c:v>2026</c:v>
                </c:pt>
                <c:pt idx="456">
                  <c:v>2026</c:v>
                </c:pt>
                <c:pt idx="457">
                  <c:v>2026</c:v>
                </c:pt>
                <c:pt idx="458">
                  <c:v>2026</c:v>
                </c:pt>
                <c:pt idx="459">
                  <c:v>2026</c:v>
                </c:pt>
                <c:pt idx="460">
                  <c:v>2026</c:v>
                </c:pt>
                <c:pt idx="461">
                  <c:v>2026</c:v>
                </c:pt>
                <c:pt idx="462">
                  <c:v>2026</c:v>
                </c:pt>
                <c:pt idx="463">
                  <c:v>2026</c:v>
                </c:pt>
                <c:pt idx="464">
                  <c:v>2026</c:v>
                </c:pt>
                <c:pt idx="465">
                  <c:v>2026</c:v>
                </c:pt>
                <c:pt idx="466">
                  <c:v>2026</c:v>
                </c:pt>
                <c:pt idx="467">
                  <c:v>2026</c:v>
                </c:pt>
                <c:pt idx="468">
                  <c:v>2026</c:v>
                </c:pt>
                <c:pt idx="469">
                  <c:v>2026</c:v>
                </c:pt>
                <c:pt idx="470">
                  <c:v>2026</c:v>
                </c:pt>
                <c:pt idx="471">
                  <c:v>2026</c:v>
                </c:pt>
                <c:pt idx="472">
                  <c:v>2026</c:v>
                </c:pt>
                <c:pt idx="473">
                  <c:v>2026</c:v>
                </c:pt>
                <c:pt idx="474">
                  <c:v>2026</c:v>
                </c:pt>
                <c:pt idx="475">
                  <c:v>2026</c:v>
                </c:pt>
                <c:pt idx="476">
                  <c:v>2026</c:v>
                </c:pt>
                <c:pt idx="477">
                  <c:v>2026</c:v>
                </c:pt>
                <c:pt idx="478">
                  <c:v>2026</c:v>
                </c:pt>
                <c:pt idx="479">
                  <c:v>2026</c:v>
                </c:pt>
                <c:pt idx="480">
                  <c:v>2026</c:v>
                </c:pt>
                <c:pt idx="481">
                  <c:v>2026</c:v>
                </c:pt>
                <c:pt idx="482">
                  <c:v>2026</c:v>
                </c:pt>
                <c:pt idx="483">
                  <c:v>2026</c:v>
                </c:pt>
                <c:pt idx="484">
                  <c:v>2026</c:v>
                </c:pt>
                <c:pt idx="485">
                  <c:v>2026</c:v>
                </c:pt>
                <c:pt idx="486">
                  <c:v>2026</c:v>
                </c:pt>
                <c:pt idx="487">
                  <c:v>2026</c:v>
                </c:pt>
                <c:pt idx="488">
                  <c:v>2026</c:v>
                </c:pt>
                <c:pt idx="489">
                  <c:v>2026</c:v>
                </c:pt>
                <c:pt idx="490">
                  <c:v>2026</c:v>
                </c:pt>
                <c:pt idx="491">
                  <c:v>2026</c:v>
                </c:pt>
                <c:pt idx="492">
                  <c:v>2026</c:v>
                </c:pt>
                <c:pt idx="493">
                  <c:v>2026</c:v>
                </c:pt>
                <c:pt idx="494">
                  <c:v>2026</c:v>
                </c:pt>
                <c:pt idx="495">
                  <c:v>2026</c:v>
                </c:pt>
                <c:pt idx="496">
                  <c:v>2026</c:v>
                </c:pt>
                <c:pt idx="497">
                  <c:v>2026</c:v>
                </c:pt>
                <c:pt idx="498">
                  <c:v>2026</c:v>
                </c:pt>
                <c:pt idx="499">
                  <c:v>2026</c:v>
                </c:pt>
              </c:numCache>
            </c:numRef>
          </c:xVal>
          <c:yVal>
            <c:numRef>
              <c:f>Data!$H:$H</c:f>
              <c:numCache>
                <c:formatCode>"$"#,##0_);[Red]\("$"#,##0\)</c:formatCode>
                <c:ptCount val="1048576"/>
                <c:pt idx="0" formatCode="General">
                  <c:v>0</c:v>
                </c:pt>
                <c:pt idx="1">
                  <c:v>1320</c:v>
                </c:pt>
                <c:pt idx="2">
                  <c:v>790</c:v>
                </c:pt>
                <c:pt idx="3">
                  <c:v>2450</c:v>
                </c:pt>
                <c:pt idx="4">
                  <c:v>980</c:v>
                </c:pt>
                <c:pt idx="5">
                  <c:v>1950</c:v>
                </c:pt>
                <c:pt idx="6">
                  <c:v>670</c:v>
                </c:pt>
                <c:pt idx="7">
                  <c:v>1900</c:v>
                </c:pt>
                <c:pt idx="8">
                  <c:v>1550</c:v>
                </c:pt>
                <c:pt idx="9">
                  <c:v>840</c:v>
                </c:pt>
                <c:pt idx="10">
                  <c:v>2200</c:v>
                </c:pt>
                <c:pt idx="11">
                  <c:v>580</c:v>
                </c:pt>
                <c:pt idx="12">
                  <c:v>1450</c:v>
                </c:pt>
                <c:pt idx="13">
                  <c:v>1080</c:v>
                </c:pt>
                <c:pt idx="14">
                  <c:v>2550</c:v>
                </c:pt>
                <c:pt idx="15">
                  <c:v>930</c:v>
                </c:pt>
                <c:pt idx="16">
                  <c:v>1850</c:v>
                </c:pt>
                <c:pt idx="17">
                  <c:v>630</c:v>
                </c:pt>
                <c:pt idx="18">
                  <c:v>1650</c:v>
                </c:pt>
                <c:pt idx="19">
                  <c:v>1150</c:v>
                </c:pt>
                <c:pt idx="20">
                  <c:v>2300</c:v>
                </c:pt>
                <c:pt idx="21">
                  <c:v>1400</c:v>
                </c:pt>
                <c:pt idx="22">
                  <c:v>820</c:v>
                </c:pt>
                <c:pt idx="23">
                  <c:v>2500</c:v>
                </c:pt>
                <c:pt idx="24">
                  <c:v>950</c:v>
                </c:pt>
                <c:pt idx="25">
                  <c:v>1850</c:v>
                </c:pt>
                <c:pt idx="26">
                  <c:v>700</c:v>
                </c:pt>
                <c:pt idx="27">
                  <c:v>1950</c:v>
                </c:pt>
                <c:pt idx="28">
                  <c:v>1600</c:v>
                </c:pt>
                <c:pt idx="29">
                  <c:v>870</c:v>
                </c:pt>
                <c:pt idx="30">
                  <c:v>2150</c:v>
                </c:pt>
                <c:pt idx="31">
                  <c:v>550</c:v>
                </c:pt>
                <c:pt idx="32">
                  <c:v>1500</c:v>
                </c:pt>
                <c:pt idx="33">
                  <c:v>1050</c:v>
                </c:pt>
                <c:pt idx="34">
                  <c:v>2600</c:v>
                </c:pt>
                <c:pt idx="35">
                  <c:v>980</c:v>
                </c:pt>
                <c:pt idx="36">
                  <c:v>1900</c:v>
                </c:pt>
                <c:pt idx="37">
                  <c:v>600</c:v>
                </c:pt>
                <c:pt idx="38">
                  <c:v>1700</c:v>
                </c:pt>
                <c:pt idx="39">
                  <c:v>1200</c:v>
                </c:pt>
                <c:pt idx="40">
                  <c:v>2250</c:v>
                </c:pt>
                <c:pt idx="41">
                  <c:v>1450</c:v>
                </c:pt>
                <c:pt idx="42">
                  <c:v>780</c:v>
                </c:pt>
                <c:pt idx="43">
                  <c:v>2550</c:v>
                </c:pt>
                <c:pt idx="44">
                  <c:v>1020</c:v>
                </c:pt>
                <c:pt idx="45">
                  <c:v>2000</c:v>
                </c:pt>
                <c:pt idx="46">
                  <c:v>650</c:v>
                </c:pt>
                <c:pt idx="47">
                  <c:v>2000</c:v>
                </c:pt>
                <c:pt idx="48">
                  <c:v>1650</c:v>
                </c:pt>
                <c:pt idx="49">
                  <c:v>810</c:v>
                </c:pt>
                <c:pt idx="50">
                  <c:v>2250</c:v>
                </c:pt>
                <c:pt idx="51">
                  <c:v>560</c:v>
                </c:pt>
                <c:pt idx="52">
                  <c:v>1550</c:v>
                </c:pt>
                <c:pt idx="53">
                  <c:v>1100</c:v>
                </c:pt>
                <c:pt idx="54">
                  <c:v>2650</c:v>
                </c:pt>
                <c:pt idx="55">
                  <c:v>880</c:v>
                </c:pt>
                <c:pt idx="56">
                  <c:v>1800</c:v>
                </c:pt>
                <c:pt idx="57">
                  <c:v>620</c:v>
                </c:pt>
                <c:pt idx="58">
                  <c:v>1800</c:v>
                </c:pt>
                <c:pt idx="59">
                  <c:v>1250</c:v>
                </c:pt>
                <c:pt idx="60">
                  <c:v>2350</c:v>
                </c:pt>
                <c:pt idx="61">
                  <c:v>1500</c:v>
                </c:pt>
                <c:pt idx="62">
                  <c:v>800</c:v>
                </c:pt>
                <c:pt idx="63">
                  <c:v>2600</c:v>
                </c:pt>
                <c:pt idx="64">
                  <c:v>1050</c:v>
                </c:pt>
                <c:pt idx="65">
                  <c:v>2050</c:v>
                </c:pt>
                <c:pt idx="66">
                  <c:v>680</c:v>
                </c:pt>
                <c:pt idx="67">
                  <c:v>2050</c:v>
                </c:pt>
                <c:pt idx="68">
                  <c:v>1700</c:v>
                </c:pt>
                <c:pt idx="69">
                  <c:v>830</c:v>
                </c:pt>
                <c:pt idx="70">
                  <c:v>2300</c:v>
                </c:pt>
                <c:pt idx="71">
                  <c:v>570</c:v>
                </c:pt>
                <c:pt idx="72">
                  <c:v>1600</c:v>
                </c:pt>
                <c:pt idx="73">
                  <c:v>1150</c:v>
                </c:pt>
                <c:pt idx="74">
                  <c:v>2700</c:v>
                </c:pt>
                <c:pt idx="75">
                  <c:v>910</c:v>
                </c:pt>
                <c:pt idx="76">
                  <c:v>1950</c:v>
                </c:pt>
                <c:pt idx="77">
                  <c:v>660</c:v>
                </c:pt>
                <c:pt idx="78">
                  <c:v>1850</c:v>
                </c:pt>
                <c:pt idx="79">
                  <c:v>1300</c:v>
                </c:pt>
                <c:pt idx="80">
                  <c:v>2400</c:v>
                </c:pt>
                <c:pt idx="81">
                  <c:v>1550</c:v>
                </c:pt>
                <c:pt idx="82">
                  <c:v>810</c:v>
                </c:pt>
                <c:pt idx="83">
                  <c:v>2650</c:v>
                </c:pt>
                <c:pt idx="84">
                  <c:v>1080</c:v>
                </c:pt>
                <c:pt idx="85">
                  <c:v>2100</c:v>
                </c:pt>
                <c:pt idx="86">
                  <c:v>710</c:v>
                </c:pt>
                <c:pt idx="87">
                  <c:v>2100</c:v>
                </c:pt>
                <c:pt idx="88">
                  <c:v>1750</c:v>
                </c:pt>
                <c:pt idx="89">
                  <c:v>850</c:v>
                </c:pt>
                <c:pt idx="90">
                  <c:v>2350</c:v>
                </c:pt>
                <c:pt idx="91">
                  <c:v>590</c:v>
                </c:pt>
                <c:pt idx="92">
                  <c:v>1650</c:v>
                </c:pt>
                <c:pt idx="93">
                  <c:v>1200</c:v>
                </c:pt>
                <c:pt idx="94">
                  <c:v>2750</c:v>
                </c:pt>
                <c:pt idx="95">
                  <c:v>940</c:v>
                </c:pt>
                <c:pt idx="96">
                  <c:v>2000</c:v>
                </c:pt>
                <c:pt idx="97">
                  <c:v>690</c:v>
                </c:pt>
                <c:pt idx="98">
                  <c:v>1900</c:v>
                </c:pt>
                <c:pt idx="99">
                  <c:v>1350</c:v>
                </c:pt>
                <c:pt idx="100">
                  <c:v>2450</c:v>
                </c:pt>
                <c:pt idx="101">
                  <c:v>1580</c:v>
                </c:pt>
                <c:pt idx="102">
                  <c:v>830</c:v>
                </c:pt>
                <c:pt idx="103">
                  <c:v>2550</c:v>
                </c:pt>
                <c:pt idx="104">
                  <c:v>1010</c:v>
                </c:pt>
                <c:pt idx="105">
                  <c:v>2050</c:v>
                </c:pt>
                <c:pt idx="106">
                  <c:v>730</c:v>
                </c:pt>
                <c:pt idx="107">
                  <c:v>2050</c:v>
                </c:pt>
                <c:pt idx="108">
                  <c:v>1700</c:v>
                </c:pt>
                <c:pt idx="109">
                  <c:v>900</c:v>
                </c:pt>
                <c:pt idx="110">
                  <c:v>2400</c:v>
                </c:pt>
                <c:pt idx="111">
                  <c:v>610</c:v>
                </c:pt>
                <c:pt idx="112">
                  <c:v>1580</c:v>
                </c:pt>
                <c:pt idx="113">
                  <c:v>1130</c:v>
                </c:pt>
                <c:pt idx="114">
                  <c:v>2800</c:v>
                </c:pt>
                <c:pt idx="115">
                  <c:v>1010</c:v>
                </c:pt>
                <c:pt idx="116">
                  <c:v>1950</c:v>
                </c:pt>
                <c:pt idx="117">
                  <c:v>680</c:v>
                </c:pt>
                <c:pt idx="118">
                  <c:v>1850</c:v>
                </c:pt>
                <c:pt idx="119">
                  <c:v>1300</c:v>
                </c:pt>
                <c:pt idx="120">
                  <c:v>2350</c:v>
                </c:pt>
                <c:pt idx="121">
                  <c:v>1550</c:v>
                </c:pt>
                <c:pt idx="122">
                  <c:v>810</c:v>
                </c:pt>
                <c:pt idx="123">
                  <c:v>2600</c:v>
                </c:pt>
                <c:pt idx="124">
                  <c:v>1060</c:v>
                </c:pt>
                <c:pt idx="125">
                  <c:v>2100</c:v>
                </c:pt>
                <c:pt idx="126">
                  <c:v>700</c:v>
                </c:pt>
                <c:pt idx="127">
                  <c:v>2100</c:v>
                </c:pt>
                <c:pt idx="128">
                  <c:v>1750</c:v>
                </c:pt>
                <c:pt idx="129">
                  <c:v>840</c:v>
                </c:pt>
                <c:pt idx="130">
                  <c:v>2450</c:v>
                </c:pt>
                <c:pt idx="131">
                  <c:v>590</c:v>
                </c:pt>
                <c:pt idx="132">
                  <c:v>1630</c:v>
                </c:pt>
                <c:pt idx="133">
                  <c:v>1180</c:v>
                </c:pt>
                <c:pt idx="134">
                  <c:v>2850</c:v>
                </c:pt>
                <c:pt idx="135">
                  <c:v>1040</c:v>
                </c:pt>
                <c:pt idx="136">
                  <c:v>2000</c:v>
                </c:pt>
                <c:pt idx="137">
                  <c:v>710</c:v>
                </c:pt>
                <c:pt idx="138">
                  <c:v>1900</c:v>
                </c:pt>
                <c:pt idx="139">
                  <c:v>1350</c:v>
                </c:pt>
                <c:pt idx="140">
                  <c:v>2400</c:v>
                </c:pt>
                <c:pt idx="141">
                  <c:v>1630</c:v>
                </c:pt>
                <c:pt idx="142">
                  <c:v>850</c:v>
                </c:pt>
                <c:pt idx="143">
                  <c:v>2650</c:v>
                </c:pt>
                <c:pt idx="144">
                  <c:v>1030</c:v>
                </c:pt>
                <c:pt idx="145">
                  <c:v>2150</c:v>
                </c:pt>
                <c:pt idx="146">
                  <c:v>750</c:v>
                </c:pt>
                <c:pt idx="147">
                  <c:v>2150</c:v>
                </c:pt>
                <c:pt idx="148">
                  <c:v>1800</c:v>
                </c:pt>
                <c:pt idx="149">
                  <c:v>870</c:v>
                </c:pt>
                <c:pt idx="150">
                  <c:v>2500</c:v>
                </c:pt>
                <c:pt idx="151">
                  <c:v>640</c:v>
                </c:pt>
                <c:pt idx="152">
                  <c:v>1680</c:v>
                </c:pt>
                <c:pt idx="153">
                  <c:v>1230</c:v>
                </c:pt>
                <c:pt idx="154">
                  <c:v>2900</c:v>
                </c:pt>
                <c:pt idx="155">
                  <c:v>1080</c:v>
                </c:pt>
                <c:pt idx="156">
                  <c:v>2050</c:v>
                </c:pt>
                <c:pt idx="157">
                  <c:v>740</c:v>
                </c:pt>
                <c:pt idx="158">
                  <c:v>1950</c:v>
                </c:pt>
                <c:pt idx="159">
                  <c:v>1400</c:v>
                </c:pt>
                <c:pt idx="160">
                  <c:v>2450</c:v>
                </c:pt>
                <c:pt idx="161">
                  <c:v>1730</c:v>
                </c:pt>
                <c:pt idx="162">
                  <c:v>870</c:v>
                </c:pt>
                <c:pt idx="163">
                  <c:v>2700</c:v>
                </c:pt>
                <c:pt idx="164">
                  <c:v>1050</c:v>
                </c:pt>
                <c:pt idx="165">
                  <c:v>2200</c:v>
                </c:pt>
                <c:pt idx="166">
                  <c:v>770</c:v>
                </c:pt>
                <c:pt idx="167">
                  <c:v>2200</c:v>
                </c:pt>
                <c:pt idx="168">
                  <c:v>1850</c:v>
                </c:pt>
                <c:pt idx="169">
                  <c:v>930</c:v>
                </c:pt>
                <c:pt idx="170">
                  <c:v>2550</c:v>
                </c:pt>
                <c:pt idx="171">
                  <c:v>670</c:v>
                </c:pt>
                <c:pt idx="172">
                  <c:v>1730</c:v>
                </c:pt>
                <c:pt idx="173">
                  <c:v>1280</c:v>
                </c:pt>
                <c:pt idx="174">
                  <c:v>2950</c:v>
                </c:pt>
                <c:pt idx="175">
                  <c:v>1110</c:v>
                </c:pt>
                <c:pt idx="176">
                  <c:v>2100</c:v>
                </c:pt>
                <c:pt idx="177">
                  <c:v>770</c:v>
                </c:pt>
                <c:pt idx="178">
                  <c:v>2000</c:v>
                </c:pt>
                <c:pt idx="179">
                  <c:v>1450</c:v>
                </c:pt>
                <c:pt idx="180">
                  <c:v>2500</c:v>
                </c:pt>
                <c:pt idx="181">
                  <c:v>1780</c:v>
                </c:pt>
                <c:pt idx="182">
                  <c:v>890</c:v>
                </c:pt>
                <c:pt idx="183">
                  <c:v>2750</c:v>
                </c:pt>
                <c:pt idx="184">
                  <c:v>1070</c:v>
                </c:pt>
                <c:pt idx="185">
                  <c:v>2250</c:v>
                </c:pt>
                <c:pt idx="186">
                  <c:v>800</c:v>
                </c:pt>
                <c:pt idx="187">
                  <c:v>2250</c:v>
                </c:pt>
                <c:pt idx="188">
                  <c:v>1900</c:v>
                </c:pt>
                <c:pt idx="189">
                  <c:v>960</c:v>
                </c:pt>
                <c:pt idx="190">
                  <c:v>2600</c:v>
                </c:pt>
                <c:pt idx="191">
                  <c:v>700</c:v>
                </c:pt>
                <c:pt idx="192">
                  <c:v>1780</c:v>
                </c:pt>
                <c:pt idx="193">
                  <c:v>1330</c:v>
                </c:pt>
                <c:pt idx="194">
                  <c:v>3000</c:v>
                </c:pt>
                <c:pt idx="195">
                  <c:v>1140</c:v>
                </c:pt>
                <c:pt idx="196">
                  <c:v>2150</c:v>
                </c:pt>
                <c:pt idx="197">
                  <c:v>800</c:v>
                </c:pt>
                <c:pt idx="198">
                  <c:v>2050</c:v>
                </c:pt>
                <c:pt idx="199">
                  <c:v>1500</c:v>
                </c:pt>
                <c:pt idx="200">
                  <c:v>2550</c:v>
                </c:pt>
                <c:pt idx="201">
                  <c:v>1630</c:v>
                </c:pt>
                <c:pt idx="202">
                  <c:v>910</c:v>
                </c:pt>
                <c:pt idx="203">
                  <c:v>2750</c:v>
                </c:pt>
                <c:pt idx="204">
                  <c:v>1060</c:v>
                </c:pt>
                <c:pt idx="205">
                  <c:v>2350</c:v>
                </c:pt>
                <c:pt idx="206">
                  <c:v>790</c:v>
                </c:pt>
                <c:pt idx="207">
                  <c:v>2200</c:v>
                </c:pt>
                <c:pt idx="208">
                  <c:v>1950</c:v>
                </c:pt>
                <c:pt idx="209">
                  <c:v>1020</c:v>
                </c:pt>
                <c:pt idx="210">
                  <c:v>2600</c:v>
                </c:pt>
                <c:pt idx="211">
                  <c:v>670</c:v>
                </c:pt>
                <c:pt idx="212">
                  <c:v>1830</c:v>
                </c:pt>
                <c:pt idx="213">
                  <c:v>1400</c:v>
                </c:pt>
                <c:pt idx="214">
                  <c:v>3050</c:v>
                </c:pt>
                <c:pt idx="215">
                  <c:v>1180</c:v>
                </c:pt>
                <c:pt idx="216">
                  <c:v>2250</c:v>
                </c:pt>
                <c:pt idx="217">
                  <c:v>780</c:v>
                </c:pt>
                <c:pt idx="218">
                  <c:v>2100</c:v>
                </c:pt>
                <c:pt idx="219">
                  <c:v>1600</c:v>
                </c:pt>
                <c:pt idx="220">
                  <c:v>2650</c:v>
                </c:pt>
                <c:pt idx="221">
                  <c:v>1850</c:v>
                </c:pt>
                <c:pt idx="222">
                  <c:v>930</c:v>
                </c:pt>
                <c:pt idx="223">
                  <c:v>2800</c:v>
                </c:pt>
                <c:pt idx="224">
                  <c:v>1090</c:v>
                </c:pt>
                <c:pt idx="225">
                  <c:v>2400</c:v>
                </c:pt>
                <c:pt idx="226">
                  <c:v>810</c:v>
                </c:pt>
                <c:pt idx="227">
                  <c:v>2300</c:v>
                </c:pt>
                <c:pt idx="228">
                  <c:v>2000</c:v>
                </c:pt>
                <c:pt idx="229">
                  <c:v>1050</c:v>
                </c:pt>
                <c:pt idx="230">
                  <c:v>2700</c:v>
                </c:pt>
                <c:pt idx="231">
                  <c:v>700</c:v>
                </c:pt>
                <c:pt idx="232">
                  <c:v>1880</c:v>
                </c:pt>
                <c:pt idx="233">
                  <c:v>1450</c:v>
                </c:pt>
                <c:pt idx="234">
                  <c:v>3100</c:v>
                </c:pt>
                <c:pt idx="235">
                  <c:v>1210</c:v>
                </c:pt>
                <c:pt idx="236">
                  <c:v>2300</c:v>
                </c:pt>
                <c:pt idx="237">
                  <c:v>810</c:v>
                </c:pt>
                <c:pt idx="238">
                  <c:v>2150</c:v>
                </c:pt>
                <c:pt idx="239">
                  <c:v>1650</c:v>
                </c:pt>
                <c:pt idx="240">
                  <c:v>2700</c:v>
                </c:pt>
                <c:pt idx="241">
                  <c:v>1900</c:v>
                </c:pt>
                <c:pt idx="242">
                  <c:v>950</c:v>
                </c:pt>
                <c:pt idx="243">
                  <c:v>2850</c:v>
                </c:pt>
                <c:pt idx="244">
                  <c:v>1110</c:v>
                </c:pt>
                <c:pt idx="245">
                  <c:v>2450</c:v>
                </c:pt>
                <c:pt idx="246">
                  <c:v>830</c:v>
                </c:pt>
                <c:pt idx="247">
                  <c:v>2350</c:v>
                </c:pt>
                <c:pt idx="248">
                  <c:v>2050</c:v>
                </c:pt>
                <c:pt idx="249">
                  <c:v>1080</c:v>
                </c:pt>
                <c:pt idx="250">
                  <c:v>2750</c:v>
                </c:pt>
                <c:pt idx="251">
                  <c:v>730</c:v>
                </c:pt>
                <c:pt idx="252">
                  <c:v>1930</c:v>
                </c:pt>
                <c:pt idx="253">
                  <c:v>1500</c:v>
                </c:pt>
                <c:pt idx="254">
                  <c:v>3150</c:v>
                </c:pt>
                <c:pt idx="255">
                  <c:v>1250</c:v>
                </c:pt>
                <c:pt idx="256">
                  <c:v>2400</c:v>
                </c:pt>
                <c:pt idx="257">
                  <c:v>840</c:v>
                </c:pt>
                <c:pt idx="258">
                  <c:v>2200</c:v>
                </c:pt>
                <c:pt idx="259">
                  <c:v>1700</c:v>
                </c:pt>
                <c:pt idx="260">
                  <c:v>2750</c:v>
                </c:pt>
                <c:pt idx="261">
                  <c:v>2000</c:v>
                </c:pt>
                <c:pt idx="262">
                  <c:v>980</c:v>
                </c:pt>
                <c:pt idx="263">
                  <c:v>2900</c:v>
                </c:pt>
                <c:pt idx="264">
                  <c:v>1140</c:v>
                </c:pt>
                <c:pt idx="265">
                  <c:v>2500</c:v>
                </c:pt>
                <c:pt idx="266">
                  <c:v>850</c:v>
                </c:pt>
                <c:pt idx="267">
                  <c:v>2400</c:v>
                </c:pt>
                <c:pt idx="268">
                  <c:v>2100</c:v>
                </c:pt>
                <c:pt idx="269">
                  <c:v>1110</c:v>
                </c:pt>
                <c:pt idx="270">
                  <c:v>2800</c:v>
                </c:pt>
                <c:pt idx="271">
                  <c:v>760</c:v>
                </c:pt>
                <c:pt idx="272">
                  <c:v>1980</c:v>
                </c:pt>
                <c:pt idx="273">
                  <c:v>1550</c:v>
                </c:pt>
                <c:pt idx="274">
                  <c:v>3200</c:v>
                </c:pt>
                <c:pt idx="275">
                  <c:v>1280</c:v>
                </c:pt>
                <c:pt idx="276">
                  <c:v>2450</c:v>
                </c:pt>
                <c:pt idx="277">
                  <c:v>870</c:v>
                </c:pt>
                <c:pt idx="278">
                  <c:v>2250</c:v>
                </c:pt>
                <c:pt idx="279">
                  <c:v>1750</c:v>
                </c:pt>
                <c:pt idx="280">
                  <c:v>2800</c:v>
                </c:pt>
                <c:pt idx="281">
                  <c:v>2050</c:v>
                </c:pt>
                <c:pt idx="282">
                  <c:v>1010</c:v>
                </c:pt>
                <c:pt idx="283">
                  <c:v>2950</c:v>
                </c:pt>
                <c:pt idx="284">
                  <c:v>1170</c:v>
                </c:pt>
                <c:pt idx="285">
                  <c:v>2550</c:v>
                </c:pt>
                <c:pt idx="286">
                  <c:v>870</c:v>
                </c:pt>
                <c:pt idx="287">
                  <c:v>2500</c:v>
                </c:pt>
                <c:pt idx="288">
                  <c:v>2150</c:v>
                </c:pt>
                <c:pt idx="289">
                  <c:v>1140</c:v>
                </c:pt>
                <c:pt idx="290">
                  <c:v>2850</c:v>
                </c:pt>
                <c:pt idx="291">
                  <c:v>790</c:v>
                </c:pt>
                <c:pt idx="292">
                  <c:v>2030</c:v>
                </c:pt>
                <c:pt idx="293">
                  <c:v>1600</c:v>
                </c:pt>
                <c:pt idx="294">
                  <c:v>3250</c:v>
                </c:pt>
                <c:pt idx="295">
                  <c:v>1320</c:v>
                </c:pt>
                <c:pt idx="296">
                  <c:v>2500</c:v>
                </c:pt>
                <c:pt idx="297">
                  <c:v>900</c:v>
                </c:pt>
                <c:pt idx="298">
                  <c:v>2300</c:v>
                </c:pt>
                <c:pt idx="299">
                  <c:v>1800</c:v>
                </c:pt>
                <c:pt idx="300">
                  <c:v>2850</c:v>
                </c:pt>
                <c:pt idx="301">
                  <c:v>2050</c:v>
                </c:pt>
                <c:pt idx="302">
                  <c:v>1040</c:v>
                </c:pt>
                <c:pt idx="303">
                  <c:v>3000</c:v>
                </c:pt>
                <c:pt idx="304">
                  <c:v>1190</c:v>
                </c:pt>
                <c:pt idx="305">
                  <c:v>2650</c:v>
                </c:pt>
                <c:pt idx="306">
                  <c:v>900</c:v>
                </c:pt>
                <c:pt idx="307">
                  <c:v>2550</c:v>
                </c:pt>
                <c:pt idx="308">
                  <c:v>2350</c:v>
                </c:pt>
                <c:pt idx="309">
                  <c:v>1200</c:v>
                </c:pt>
                <c:pt idx="310">
                  <c:v>2850</c:v>
                </c:pt>
                <c:pt idx="311">
                  <c:v>780</c:v>
                </c:pt>
                <c:pt idx="312">
                  <c:v>2130</c:v>
                </c:pt>
                <c:pt idx="313">
                  <c:v>1700</c:v>
                </c:pt>
                <c:pt idx="314">
                  <c:v>3300</c:v>
                </c:pt>
                <c:pt idx="315">
                  <c:v>1390</c:v>
                </c:pt>
                <c:pt idx="316">
                  <c:v>2550</c:v>
                </c:pt>
                <c:pt idx="317">
                  <c:v>930</c:v>
                </c:pt>
                <c:pt idx="318">
                  <c:v>2450</c:v>
                </c:pt>
                <c:pt idx="319">
                  <c:v>1900</c:v>
                </c:pt>
                <c:pt idx="320">
                  <c:v>2850</c:v>
                </c:pt>
                <c:pt idx="321">
                  <c:v>2250</c:v>
                </c:pt>
                <c:pt idx="322">
                  <c:v>1070</c:v>
                </c:pt>
                <c:pt idx="323">
                  <c:v>3150</c:v>
                </c:pt>
                <c:pt idx="324">
                  <c:v>1210</c:v>
                </c:pt>
                <c:pt idx="325">
                  <c:v>2750</c:v>
                </c:pt>
                <c:pt idx="326">
                  <c:v>930</c:v>
                </c:pt>
                <c:pt idx="327">
                  <c:v>2600</c:v>
                </c:pt>
                <c:pt idx="328">
                  <c:v>2400</c:v>
                </c:pt>
                <c:pt idx="329">
                  <c:v>1230</c:v>
                </c:pt>
                <c:pt idx="330">
                  <c:v>2950</c:v>
                </c:pt>
                <c:pt idx="331">
                  <c:v>810</c:v>
                </c:pt>
                <c:pt idx="332">
                  <c:v>2180</c:v>
                </c:pt>
                <c:pt idx="333">
                  <c:v>1800</c:v>
                </c:pt>
                <c:pt idx="334">
                  <c:v>3350</c:v>
                </c:pt>
                <c:pt idx="335">
                  <c:v>1430</c:v>
                </c:pt>
                <c:pt idx="336">
                  <c:v>2650</c:v>
                </c:pt>
                <c:pt idx="337">
                  <c:v>960</c:v>
                </c:pt>
                <c:pt idx="338">
                  <c:v>2500</c:v>
                </c:pt>
                <c:pt idx="339">
                  <c:v>2000</c:v>
                </c:pt>
                <c:pt idx="340">
                  <c:v>2900</c:v>
                </c:pt>
                <c:pt idx="341">
                  <c:v>2300</c:v>
                </c:pt>
                <c:pt idx="342">
                  <c:v>1100</c:v>
                </c:pt>
                <c:pt idx="343">
                  <c:v>3200</c:v>
                </c:pt>
                <c:pt idx="344">
                  <c:v>1240</c:v>
                </c:pt>
                <c:pt idx="345">
                  <c:v>2850</c:v>
                </c:pt>
                <c:pt idx="346">
                  <c:v>960</c:v>
                </c:pt>
                <c:pt idx="347">
                  <c:v>2700</c:v>
                </c:pt>
                <c:pt idx="348">
                  <c:v>2450</c:v>
                </c:pt>
                <c:pt idx="349">
                  <c:v>1260</c:v>
                </c:pt>
                <c:pt idx="350">
                  <c:v>3050</c:v>
                </c:pt>
                <c:pt idx="351">
                  <c:v>840</c:v>
                </c:pt>
                <c:pt idx="352">
                  <c:v>2230</c:v>
                </c:pt>
                <c:pt idx="353">
                  <c:v>1900</c:v>
                </c:pt>
                <c:pt idx="354">
                  <c:v>3400</c:v>
                </c:pt>
                <c:pt idx="355">
                  <c:v>1460</c:v>
                </c:pt>
                <c:pt idx="356">
                  <c:v>2700</c:v>
                </c:pt>
                <c:pt idx="357">
                  <c:v>990</c:v>
                </c:pt>
                <c:pt idx="358">
                  <c:v>2550</c:v>
                </c:pt>
                <c:pt idx="359">
                  <c:v>2100</c:v>
                </c:pt>
                <c:pt idx="360">
                  <c:v>3000</c:v>
                </c:pt>
                <c:pt idx="361">
                  <c:v>2350</c:v>
                </c:pt>
                <c:pt idx="362">
                  <c:v>1130</c:v>
                </c:pt>
                <c:pt idx="363">
                  <c:v>3250</c:v>
                </c:pt>
                <c:pt idx="364">
                  <c:v>1270</c:v>
                </c:pt>
                <c:pt idx="365">
                  <c:v>2950</c:v>
                </c:pt>
                <c:pt idx="366">
                  <c:v>990</c:v>
                </c:pt>
                <c:pt idx="367">
                  <c:v>2750</c:v>
                </c:pt>
                <c:pt idx="368">
                  <c:v>2500</c:v>
                </c:pt>
                <c:pt idx="369">
                  <c:v>1290</c:v>
                </c:pt>
                <c:pt idx="370">
                  <c:v>3100</c:v>
                </c:pt>
                <c:pt idx="371">
                  <c:v>870</c:v>
                </c:pt>
                <c:pt idx="372">
                  <c:v>2280</c:v>
                </c:pt>
                <c:pt idx="373">
                  <c:v>2000</c:v>
                </c:pt>
                <c:pt idx="374">
                  <c:v>3450</c:v>
                </c:pt>
                <c:pt idx="375">
                  <c:v>1490</c:v>
                </c:pt>
                <c:pt idx="376">
                  <c:v>2800</c:v>
                </c:pt>
                <c:pt idx="377">
                  <c:v>1020</c:v>
                </c:pt>
                <c:pt idx="378">
                  <c:v>2600</c:v>
                </c:pt>
                <c:pt idx="379">
                  <c:v>2200</c:v>
                </c:pt>
                <c:pt idx="380">
                  <c:v>3050</c:v>
                </c:pt>
                <c:pt idx="381">
                  <c:v>2400</c:v>
                </c:pt>
                <c:pt idx="382">
                  <c:v>1160</c:v>
                </c:pt>
                <c:pt idx="383">
                  <c:v>3300</c:v>
                </c:pt>
                <c:pt idx="384">
                  <c:v>1300</c:v>
                </c:pt>
                <c:pt idx="385">
                  <c:v>3050</c:v>
                </c:pt>
                <c:pt idx="386">
                  <c:v>1020</c:v>
                </c:pt>
                <c:pt idx="387">
                  <c:v>2850</c:v>
                </c:pt>
                <c:pt idx="388">
                  <c:v>2600</c:v>
                </c:pt>
                <c:pt idx="389">
                  <c:v>1320</c:v>
                </c:pt>
                <c:pt idx="390">
                  <c:v>3150</c:v>
                </c:pt>
                <c:pt idx="391">
                  <c:v>900</c:v>
                </c:pt>
                <c:pt idx="392">
                  <c:v>2330</c:v>
                </c:pt>
                <c:pt idx="393">
                  <c:v>2100</c:v>
                </c:pt>
                <c:pt idx="394">
                  <c:v>3500</c:v>
                </c:pt>
                <c:pt idx="395">
                  <c:v>1520</c:v>
                </c:pt>
                <c:pt idx="396">
                  <c:v>2900</c:v>
                </c:pt>
                <c:pt idx="397">
                  <c:v>1050</c:v>
                </c:pt>
                <c:pt idx="398">
                  <c:v>2700</c:v>
                </c:pt>
                <c:pt idx="399">
                  <c:v>2300</c:v>
                </c:pt>
                <c:pt idx="400">
                  <c:v>3100</c:v>
                </c:pt>
                <c:pt idx="401">
                  <c:v>2450</c:v>
                </c:pt>
                <c:pt idx="402">
                  <c:v>1190</c:v>
                </c:pt>
                <c:pt idx="403">
                  <c:v>3350</c:v>
                </c:pt>
                <c:pt idx="404">
                  <c:v>1340</c:v>
                </c:pt>
                <c:pt idx="405">
                  <c:v>3150</c:v>
                </c:pt>
                <c:pt idx="406">
                  <c:v>1080</c:v>
                </c:pt>
                <c:pt idx="407">
                  <c:v>2950</c:v>
                </c:pt>
                <c:pt idx="408">
                  <c:v>2700</c:v>
                </c:pt>
                <c:pt idx="409">
                  <c:v>1380</c:v>
                </c:pt>
                <c:pt idx="410">
                  <c:v>3250</c:v>
                </c:pt>
                <c:pt idx="411">
                  <c:v>930</c:v>
                </c:pt>
                <c:pt idx="412">
                  <c:v>2530</c:v>
                </c:pt>
                <c:pt idx="413">
                  <c:v>2200</c:v>
                </c:pt>
                <c:pt idx="414">
                  <c:v>3550</c:v>
                </c:pt>
                <c:pt idx="415">
                  <c:v>1550</c:v>
                </c:pt>
                <c:pt idx="416">
                  <c:v>3000</c:v>
                </c:pt>
                <c:pt idx="417">
                  <c:v>1110</c:v>
                </c:pt>
                <c:pt idx="418">
                  <c:v>2800</c:v>
                </c:pt>
                <c:pt idx="419">
                  <c:v>2400</c:v>
                </c:pt>
                <c:pt idx="420">
                  <c:v>3200</c:v>
                </c:pt>
                <c:pt idx="421">
                  <c:v>2500</c:v>
                </c:pt>
                <c:pt idx="422">
                  <c:v>1220</c:v>
                </c:pt>
                <c:pt idx="423">
                  <c:v>3400</c:v>
                </c:pt>
                <c:pt idx="424">
                  <c:v>1370</c:v>
                </c:pt>
                <c:pt idx="425">
                  <c:v>3250</c:v>
                </c:pt>
                <c:pt idx="426">
                  <c:v>1110</c:v>
                </c:pt>
                <c:pt idx="427">
                  <c:v>3050</c:v>
                </c:pt>
                <c:pt idx="428">
                  <c:v>2850</c:v>
                </c:pt>
                <c:pt idx="429">
                  <c:v>1410</c:v>
                </c:pt>
                <c:pt idx="430">
                  <c:v>3300</c:v>
                </c:pt>
                <c:pt idx="431">
                  <c:v>960</c:v>
                </c:pt>
                <c:pt idx="432">
                  <c:v>2580</c:v>
                </c:pt>
                <c:pt idx="433">
                  <c:v>2300</c:v>
                </c:pt>
                <c:pt idx="434">
                  <c:v>3600</c:v>
                </c:pt>
                <c:pt idx="435">
                  <c:v>1580</c:v>
                </c:pt>
                <c:pt idx="436">
                  <c:v>3100</c:v>
                </c:pt>
                <c:pt idx="437">
                  <c:v>1140</c:v>
                </c:pt>
                <c:pt idx="438">
                  <c:v>2900</c:v>
                </c:pt>
                <c:pt idx="439">
                  <c:v>2500</c:v>
                </c:pt>
                <c:pt idx="440">
                  <c:v>3300</c:v>
                </c:pt>
                <c:pt idx="441">
                  <c:v>2550</c:v>
                </c:pt>
                <c:pt idx="442">
                  <c:v>1250</c:v>
                </c:pt>
                <c:pt idx="443">
                  <c:v>3450</c:v>
                </c:pt>
                <c:pt idx="444">
                  <c:v>1400</c:v>
                </c:pt>
                <c:pt idx="445">
                  <c:v>3350</c:v>
                </c:pt>
                <c:pt idx="446">
                  <c:v>1140</c:v>
                </c:pt>
                <c:pt idx="447">
                  <c:v>3150</c:v>
                </c:pt>
                <c:pt idx="448">
                  <c:v>2950</c:v>
                </c:pt>
                <c:pt idx="449">
                  <c:v>1440</c:v>
                </c:pt>
                <c:pt idx="450">
                  <c:v>3350</c:v>
                </c:pt>
                <c:pt idx="451">
                  <c:v>990</c:v>
                </c:pt>
                <c:pt idx="452">
                  <c:v>2630</c:v>
                </c:pt>
                <c:pt idx="453">
                  <c:v>2400</c:v>
                </c:pt>
                <c:pt idx="454">
                  <c:v>3650</c:v>
                </c:pt>
                <c:pt idx="455">
                  <c:v>1610</c:v>
                </c:pt>
                <c:pt idx="456">
                  <c:v>3200</c:v>
                </c:pt>
                <c:pt idx="457">
                  <c:v>1170</c:v>
                </c:pt>
                <c:pt idx="458">
                  <c:v>3000</c:v>
                </c:pt>
                <c:pt idx="459">
                  <c:v>2600</c:v>
                </c:pt>
                <c:pt idx="460">
                  <c:v>3400</c:v>
                </c:pt>
                <c:pt idx="461">
                  <c:v>2600</c:v>
                </c:pt>
                <c:pt idx="462">
                  <c:v>1280</c:v>
                </c:pt>
                <c:pt idx="463">
                  <c:v>3500</c:v>
                </c:pt>
                <c:pt idx="464">
                  <c:v>1430</c:v>
                </c:pt>
                <c:pt idx="465">
                  <c:v>3450</c:v>
                </c:pt>
                <c:pt idx="466">
                  <c:v>1170</c:v>
                </c:pt>
                <c:pt idx="467">
                  <c:v>3250</c:v>
                </c:pt>
                <c:pt idx="468">
                  <c:v>3050</c:v>
                </c:pt>
                <c:pt idx="469">
                  <c:v>1470</c:v>
                </c:pt>
                <c:pt idx="470">
                  <c:v>3450</c:v>
                </c:pt>
                <c:pt idx="471">
                  <c:v>1020</c:v>
                </c:pt>
                <c:pt idx="472">
                  <c:v>2680</c:v>
                </c:pt>
                <c:pt idx="473">
                  <c:v>2500</c:v>
                </c:pt>
                <c:pt idx="474">
                  <c:v>3700</c:v>
                </c:pt>
                <c:pt idx="475">
                  <c:v>1640</c:v>
                </c:pt>
                <c:pt idx="476">
                  <c:v>3300</c:v>
                </c:pt>
                <c:pt idx="477">
                  <c:v>1200</c:v>
                </c:pt>
                <c:pt idx="478">
                  <c:v>3100</c:v>
                </c:pt>
                <c:pt idx="479">
                  <c:v>2700</c:v>
                </c:pt>
                <c:pt idx="480">
                  <c:v>3500</c:v>
                </c:pt>
                <c:pt idx="481">
                  <c:v>2650</c:v>
                </c:pt>
                <c:pt idx="482">
                  <c:v>1310</c:v>
                </c:pt>
                <c:pt idx="483">
                  <c:v>3550</c:v>
                </c:pt>
                <c:pt idx="484">
                  <c:v>1460</c:v>
                </c:pt>
                <c:pt idx="485">
                  <c:v>3550</c:v>
                </c:pt>
                <c:pt idx="486">
                  <c:v>1200</c:v>
                </c:pt>
                <c:pt idx="487">
                  <c:v>3350</c:v>
                </c:pt>
                <c:pt idx="488">
                  <c:v>3150</c:v>
                </c:pt>
                <c:pt idx="489">
                  <c:v>1500</c:v>
                </c:pt>
                <c:pt idx="490">
                  <c:v>3500</c:v>
                </c:pt>
                <c:pt idx="491">
                  <c:v>1050</c:v>
                </c:pt>
                <c:pt idx="492">
                  <c:v>2730</c:v>
                </c:pt>
                <c:pt idx="493">
                  <c:v>2600</c:v>
                </c:pt>
                <c:pt idx="494">
                  <c:v>3750</c:v>
                </c:pt>
                <c:pt idx="495">
                  <c:v>1670</c:v>
                </c:pt>
                <c:pt idx="496">
                  <c:v>3400</c:v>
                </c:pt>
                <c:pt idx="497">
                  <c:v>1230</c:v>
                </c:pt>
                <c:pt idx="498">
                  <c:v>3200</c:v>
                </c:pt>
                <c:pt idx="499">
                  <c:v>2800</c:v>
                </c:pt>
                <c:pt idx="500">
                  <c:v>3600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9-C54C-9CD7-78601308F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96703"/>
        <c:axId val="73036031"/>
      </c:scatterChart>
      <c:valAx>
        <c:axId val="9209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6031"/>
        <c:crosses val="autoZero"/>
        <c:crossBetween val="midCat"/>
      </c:valAx>
      <c:valAx>
        <c:axId val="7303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6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5</xdr:col>
      <xdr:colOff>525517</xdr:colOff>
      <xdr:row>30</xdr:row>
      <xdr:rowOff>45545</xdr:rowOff>
    </xdr:to>
    <xdr:graphicFrame macro="">
      <xdr:nvGraphicFramePr>
        <xdr:cNvPr id="3" name="Total Premium per Coverage">
          <a:extLst>
            <a:ext uri="{FF2B5EF4-FFF2-40B4-BE49-F238E27FC236}">
              <a16:creationId xmlns:a16="http://schemas.microsoft.com/office/drawing/2014/main" id="{CCEB8D1B-FD44-5B44-AE7E-3521488C6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201448</xdr:colOff>
      <xdr:row>17</xdr:row>
      <xdr:rowOff>183055</xdr:rowOff>
    </xdr:from>
    <xdr:to>
      <xdr:col>16</xdr:col>
      <xdr:colOff>376620</xdr:colOff>
      <xdr:row>32</xdr:row>
      <xdr:rowOff>35911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27A698-675B-6BFC-7D38-00AE95E4A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8759</xdr:colOff>
      <xdr:row>35</xdr:row>
      <xdr:rowOff>87586</xdr:rowOff>
    </xdr:from>
    <xdr:to>
      <xdr:col>16</xdr:col>
      <xdr:colOff>385380</xdr:colOff>
      <xdr:row>49</xdr:row>
      <xdr:rowOff>150648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0D0738-8773-2A47-AC75-F04632378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26276</xdr:colOff>
      <xdr:row>52</xdr:row>
      <xdr:rowOff>26276</xdr:rowOff>
    </xdr:from>
    <xdr:to>
      <xdr:col>17</xdr:col>
      <xdr:colOff>157655</xdr:colOff>
      <xdr:row>67</xdr:row>
      <xdr:rowOff>8759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8BC3D6-EC13-2741-951D-9024C939B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86.614159143515" createdVersion="8" refreshedVersion="8" minRefreshableVersion="3" recordCount="500" xr:uid="{235A67E6-BA5D-B041-B66D-D8C29A94BFF9}">
  <cacheSource type="worksheet">
    <worksheetSource name="PolicyData"/>
  </cacheSource>
  <cacheFields count="14">
    <cacheField name="PolicyID" numFmtId="0">
      <sharedItems/>
    </cacheField>
    <cacheField name="ExpiryDate" numFmtId="14">
      <sharedItems containsSemiMixedTypes="0" containsNonDate="0" containsDate="1" containsString="0" minDate="2025-11-02T00:00:00" maxDate="2026-12-24T00:00:00" count="215">
        <d v="2026-09-15T00:00:00"/>
        <d v="2026-05-22T00:00:00"/>
        <d v="2026-10-20T00:00:00"/>
        <d v="2026-07-01T00:00:00"/>
        <d v="2026-04-12T00:00:00"/>
        <d v="2026-01-30T00:00:00"/>
        <d v="2026-03-28T00:00:00"/>
        <d v="2026-08-05T00:00:00"/>
        <d v="2026-06-18T00:00:00"/>
        <d v="2026-02-25T00:00:00"/>
        <d v="2025-11-05T00:00:00"/>
        <d v="2026-03-17T00:00:00"/>
        <d v="2026-05-01T00:00:00"/>
        <d v="2026-07-28T00:00:00"/>
        <d v="2026-09-02T00:00:00"/>
        <d v="2026-01-15T00:00:00"/>
        <d v="2026-02-01T00:00:00"/>
        <d v="2026-04-20T00:00:00"/>
        <d v="2026-06-10T00:00:00"/>
        <d v="2026-08-25T00:00:00"/>
        <d v="2026-10-10T00:00:00"/>
        <d v="2026-01-05T00:00:00"/>
        <d v="2025-11-18T00:00:00"/>
        <d v="2026-03-03T00:00:00"/>
        <d v="2026-05-14T00:00:00"/>
        <d v="2026-07-09T00:00:00"/>
        <d v="2026-09-21T00:00:00"/>
        <d v="2026-02-08T00:00:00"/>
        <d v="2026-03-30T00:00:00"/>
        <d v="2026-04-15T00:00:00"/>
        <d v="2026-01-01T00:00:00"/>
        <d v="2026-06-25T00:00:00"/>
        <d v="2026-08-11T00:00:00"/>
        <d v="2026-10-04T00:00:00"/>
        <d v="2026-02-19T00:00:00"/>
        <d v="2026-04-22T00:00:00"/>
        <d v="2026-07-14T00:00:00"/>
        <d v="2026-06-07T00:00:00"/>
        <d v="2026-08-20T00:00:00"/>
        <d v="2026-10-31T00:00:00"/>
        <d v="2026-02-12T00:00:00"/>
        <d v="2025-11-25T00:00:00"/>
        <d v="2026-03-08T00:00:00"/>
        <d v="2026-05-19T00:00:00"/>
        <d v="2026-07-06T00:00:00"/>
        <d v="2026-09-17T00:00:00"/>
        <d v="2026-01-03T00:00:00"/>
        <d v="2026-02-28T00:00:00"/>
        <d v="2026-04-10T00:00:00"/>
        <d v="2026-05-29T00:00:00"/>
        <d v="2026-06-20T00:00:00"/>
        <d v="2026-08-08T00:00:00"/>
        <d v="2026-10-01T00:00:00"/>
        <d v="2026-01-20T00:00:00"/>
        <d v="2026-02-07T00:00:00"/>
        <d v="2026-04-24T00:00:00"/>
        <d v="2026-05-16T00:00:00"/>
        <d v="2026-07-11T00:00:00"/>
        <d v="2026-09-04T00:00:00"/>
        <d v="2026-10-27T00:00:00"/>
        <d v="2026-02-14T00:00:00"/>
        <d v="2025-12-08T00:00:00"/>
        <d v="2026-06-03T00:00:00"/>
        <d v="2026-07-26T00:00:00"/>
        <d v="2026-09-08T00:00:00"/>
        <d v="2026-03-24T00:00:00"/>
        <d v="2026-04-17T00:00:00"/>
        <d v="2026-05-05T00:00:00"/>
        <d v="2026-06-29T00:00:00"/>
        <d v="2026-08-15T00:00:00"/>
        <d v="2026-10-07T00:00:00"/>
        <d v="2026-03-13T00:00:00"/>
        <d v="2026-04-30T00:00:00"/>
        <d v="2026-05-20T00:00:00"/>
        <d v="2026-07-15T00:00:00"/>
        <d v="2026-09-06T00:00:00"/>
        <d v="2026-10-29T00:00:00"/>
        <d v="2026-02-16T00:00:00"/>
        <d v="2025-12-04T00:00:00"/>
        <d v="2026-06-05T00:00:00"/>
        <d v="2026-09-10T00:00:00"/>
        <d v="2026-01-07T00:00:00"/>
        <d v="2026-03-26T00:00:00"/>
        <d v="2026-04-19T00:00:00"/>
        <d v="2026-05-07T00:00:00"/>
        <d v="2026-06-30T00:00:00"/>
        <d v="2026-08-17T00:00:00"/>
        <d v="2026-10-09T00:00:00"/>
        <d v="2026-02-27T00:00:00"/>
        <d v="2026-03-15T00:00:00"/>
        <d v="2026-07-17T00:00:00"/>
        <d v="2026-09-12T00:00:00"/>
        <d v="2025-11-20T00:00:00"/>
        <d v="2026-02-15T00:00:00"/>
        <d v="2026-03-25T00:00:00"/>
        <d v="2026-04-18T00:00:00"/>
        <d v="2026-05-30T00:00:00"/>
        <d v="2026-06-14T00:00:00"/>
        <d v="2025-11-04T00:00:00"/>
        <d v="2026-04-23T00:00:00"/>
        <d v="2026-05-11T00:00:00"/>
        <d v="2026-07-20T00:00:00"/>
        <d v="2026-05-06T00:00:00"/>
        <d v="2026-06-28T00:00:00"/>
        <d v="2025-12-01T00:00:00"/>
        <d v="2026-03-11T00:00:00"/>
        <d v="2026-05-09T00:00:00"/>
        <d v="2026-07-31T00:00:00"/>
        <d v="2026-09-05T00:00:00"/>
        <d v="2026-02-18T00:00:00"/>
        <d v="2026-03-10T00:00:00"/>
        <d v="2026-04-25T00:00:00"/>
        <d v="2026-05-17T00:00:00"/>
        <d v="2026-06-02T00:00:00"/>
        <d v="2026-08-29T00:00:00"/>
        <d v="2026-10-26T00:00:00"/>
        <d v="2026-04-21T00:00:00"/>
        <d v="2026-05-15T00:00:00"/>
        <d v="2026-08-18T00:00:00"/>
        <d v="2026-02-21T00:00:00"/>
        <d v="2026-06-19T00:00:00"/>
        <d v="2026-08-28T00:00:00"/>
        <d v="2025-11-09T00:00:00"/>
        <d v="2026-01-25T00:00:00"/>
        <d v="2026-03-01T00:00:00"/>
        <d v="2026-04-14T00:00:00"/>
        <d v="2026-05-27T00:00:00"/>
        <d v="2026-06-16T00:00:00"/>
        <d v="2026-07-05T00:00:00"/>
        <d v="2026-08-22T00:00:00"/>
        <d v="2025-11-21T00:00:00"/>
        <d v="2026-01-31T00:00:00"/>
        <d v="2026-04-07T00:00:00"/>
        <d v="2026-08-21T00:00:00"/>
        <d v="2026-10-25T00:00:00"/>
        <d v="2025-11-13T00:00:00"/>
        <d v="2026-02-22T00:00:00"/>
        <d v="2026-07-03T00:00:00"/>
        <d v="2026-08-13T00:00:00"/>
        <d v="2026-09-25T00:00:00"/>
        <d v="2026-10-11T00:00:00"/>
        <d v="2026-03-20T00:00:00"/>
        <d v="2026-07-04T00:00:00"/>
        <d v="2026-08-16T00:00:00"/>
        <d v="2026-09-30T00:00:00"/>
        <d v="2026-10-14T00:00:00"/>
        <d v="2025-11-28T00:00:00"/>
        <d v="2025-12-07T00:00:00"/>
        <d v="2026-02-20T00:00:00"/>
        <d v="2026-03-05T00:00:00"/>
        <d v="2026-09-18T00:00:00"/>
        <d v="2026-04-03T00:00:00"/>
        <d v="2026-07-22T00:00:00"/>
        <d v="2026-01-06T00:00:00"/>
        <d v="2026-09-23T00:00:00"/>
        <d v="2026-10-12T00:00:00"/>
        <d v="2026-01-21T00:00:00"/>
        <d v="2026-08-01T00:00:00"/>
        <d v="2026-09-19T00:00:00"/>
        <d v="2026-10-22T00:00:00"/>
        <d v="2025-11-11T00:00:00"/>
        <d v="2026-06-27T00:00:00"/>
        <d v="2026-08-03T00:00:00"/>
        <d v="2026-09-16T00:00:00"/>
        <d v="2026-11-18T00:00:00"/>
        <d v="2026-01-24T00:00:00"/>
        <d v="2026-03-31T00:00:00"/>
        <d v="2026-05-02T00:00:00"/>
        <d v="2026-08-09T00:00:00"/>
        <d v="2026-10-02T00:00:00"/>
        <d v="2025-11-08T00:00:00"/>
        <d v="2026-12-23T00:00:00"/>
        <d v="2026-01-12T00:00:00"/>
        <d v="2026-05-10T00:00:00"/>
        <d v="2026-07-19T00:00:00"/>
        <d v="2026-11-13T00:00:00"/>
        <d v="2025-12-06T00:00:00"/>
        <d v="2026-01-09T00:00:00"/>
        <d v="2026-03-14T00:00:00"/>
        <d v="2026-04-29T00:00:00"/>
        <d v="2026-05-21T00:00:00"/>
        <d v="2026-06-06T00:00:00"/>
        <d v="2026-07-18T00:00:00"/>
        <d v="2026-08-02T00:00:00"/>
        <d v="2026-12-22T00:00:00"/>
        <d v="2026-08-06T00:00:00"/>
        <d v="2026-11-25T00:00:00"/>
        <d v="2026-12-09T00:00:00"/>
        <d v="2026-07-21T00:00:00"/>
        <d v="2026-08-07T00:00:00"/>
        <d v="2025-11-15T00:00:00"/>
        <d v="2026-01-11T00:00:00"/>
        <d v="2026-02-24T00:00:00"/>
        <d v="2026-03-16T00:00:00"/>
        <d v="2026-05-23T00:00:00"/>
        <d v="2026-06-08T00:00:00"/>
        <d v="2026-08-04T00:00:00"/>
        <d v="2026-03-09T00:00:00"/>
        <d v="2026-04-27T00:00:00"/>
        <d v="2026-10-24T00:00:00"/>
        <d v="2026-03-27T00:00:00"/>
        <d v="2026-04-11T00:00:00"/>
        <d v="2026-09-24T00:00:00"/>
        <d v="2026-01-29T00:00:00"/>
        <d v="2026-05-31T00:00:00"/>
        <d v="2026-09-26T00:00:00"/>
        <d v="2026-10-21T00:00:00"/>
        <d v="2025-11-02T00:00:00"/>
        <d v="2025-12-25T00:00:00"/>
        <d v="2026-01-04T00:00:00"/>
        <d v="2026-03-02T00:00:00"/>
        <d v="2025-11-14T00:00:00"/>
        <d v="2026-02-17T00:00:00"/>
        <d v="2026-03-06T00:00:00"/>
        <d v="2026-05-04T00:00:00"/>
      </sharedItems>
      <fieldGroup par="13"/>
    </cacheField>
    <cacheField name="VehicleMake" numFmtId="0">
      <sharedItems/>
    </cacheField>
    <cacheField name="VehicleYear" numFmtId="0">
      <sharedItems containsSemiMixedTypes="0" containsString="0" containsNumber="1" containsInteger="1" minValue="2015" maxValue="2026" count="12">
        <n v="2023"/>
        <n v="2018"/>
        <n v="2025"/>
        <n v="2021"/>
        <n v="2024"/>
        <n v="2017"/>
        <n v="2026"/>
        <n v="2016"/>
        <n v="2015"/>
        <n v="2019"/>
        <n v="2020"/>
        <n v="2022"/>
      </sharedItems>
    </cacheField>
    <cacheField name="DriverAge" numFmtId="0">
      <sharedItems containsSemiMixedTypes="0" containsString="0" containsNumber="1" containsInteger="1" minValue="20" maxValue="103" count="84">
        <n v="35"/>
        <n v="48"/>
        <n v="22"/>
        <n v="55"/>
        <n v="41"/>
        <n v="62"/>
        <n v="28"/>
        <n v="51"/>
        <n v="39"/>
        <n v="25"/>
        <n v="68"/>
        <n v="33"/>
        <n v="45"/>
        <n v="21"/>
        <n v="58"/>
        <n v="29"/>
        <n v="72"/>
        <n v="37"/>
        <n v="53"/>
        <n v="24"/>
        <n v="40"/>
        <n v="50"/>
        <n v="23"/>
        <n v="60"/>
        <n v="42"/>
        <n v="65"/>
        <n v="30"/>
        <n v="52"/>
        <n v="38"/>
        <n v="26"/>
        <n v="70"/>
        <n v="34"/>
        <n v="46"/>
        <n v="20"/>
        <n v="59"/>
        <n v="31"/>
        <n v="75"/>
        <n v="36"/>
        <n v="54"/>
        <n v="27"/>
        <n v="43"/>
        <n v="56"/>
        <n v="44"/>
        <n v="63"/>
        <n v="69"/>
        <n v="32"/>
        <n v="47"/>
        <n v="61"/>
        <n v="74"/>
        <n v="57"/>
        <n v="64"/>
        <n v="71"/>
        <n v="76"/>
        <n v="49"/>
        <n v="77"/>
        <n v="66"/>
        <n v="78"/>
        <n v="67"/>
        <n v="73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</sharedItems>
      <fieldGroup base="4">
        <rangePr startNum="20" endNum="103" groupInterval="10"/>
        <groupItems count="11">
          <s v="&lt;20"/>
          <s v="20-29"/>
          <s v="30-39"/>
          <s v="40-49"/>
          <s v="50-59"/>
          <s v="60-69"/>
          <s v="70-79"/>
          <s v="80-89"/>
          <s v="90-99"/>
          <s v="100-109"/>
          <s v="&gt;110"/>
        </groupItems>
      </fieldGroup>
    </cacheField>
    <cacheField name="Region" numFmtId="168">
      <sharedItems count="4">
        <s v="West"/>
        <s v="East"/>
        <s v="Midwest"/>
        <s v="South"/>
      </sharedItems>
    </cacheField>
    <cacheField name="CoverageType" numFmtId="0">
      <sharedItems count="3">
        <s v="Comprehensive"/>
        <s v="Liability"/>
        <s v="Collision"/>
      </sharedItems>
    </cacheField>
    <cacheField name="AnnualPremium" numFmtId="6">
      <sharedItems containsSemiMixedTypes="0" containsString="0" containsNumber="1" containsInteger="1" minValue="550" maxValue="3750" count="156">
        <n v="1320"/>
        <n v="790"/>
        <n v="2450"/>
        <n v="980"/>
        <n v="1950"/>
        <n v="670"/>
        <n v="1900"/>
        <n v="1550"/>
        <n v="840"/>
        <n v="2200"/>
        <n v="580"/>
        <n v="1450"/>
        <n v="1080"/>
        <n v="2550"/>
        <n v="930"/>
        <n v="1850"/>
        <n v="630"/>
        <n v="1650"/>
        <n v="1150"/>
        <n v="2300"/>
        <n v="1400"/>
        <n v="820"/>
        <n v="2500"/>
        <n v="950"/>
        <n v="700"/>
        <n v="1600"/>
        <n v="870"/>
        <n v="2150"/>
        <n v="550"/>
        <n v="1500"/>
        <n v="1050"/>
        <n v="2600"/>
        <n v="600"/>
        <n v="1700"/>
        <n v="1200"/>
        <n v="2250"/>
        <n v="780"/>
        <n v="1020"/>
        <n v="2000"/>
        <n v="650"/>
        <n v="810"/>
        <n v="560"/>
        <n v="1100"/>
        <n v="2650"/>
        <n v="880"/>
        <n v="1800"/>
        <n v="620"/>
        <n v="1250"/>
        <n v="2350"/>
        <n v="800"/>
        <n v="2050"/>
        <n v="680"/>
        <n v="830"/>
        <n v="570"/>
        <n v="2700"/>
        <n v="910"/>
        <n v="660"/>
        <n v="1300"/>
        <n v="2400"/>
        <n v="2100"/>
        <n v="710"/>
        <n v="1750"/>
        <n v="850"/>
        <n v="590"/>
        <n v="2750"/>
        <n v="940"/>
        <n v="690"/>
        <n v="1350"/>
        <n v="1580"/>
        <n v="1010"/>
        <n v="730"/>
        <n v="900"/>
        <n v="610"/>
        <n v="1130"/>
        <n v="2800"/>
        <n v="1060"/>
        <n v="1630"/>
        <n v="1180"/>
        <n v="2850"/>
        <n v="1040"/>
        <n v="1030"/>
        <n v="750"/>
        <n v="640"/>
        <n v="1680"/>
        <n v="1230"/>
        <n v="2900"/>
        <n v="740"/>
        <n v="1730"/>
        <n v="770"/>
        <n v="1280"/>
        <n v="2950"/>
        <n v="1110"/>
        <n v="1780"/>
        <n v="890"/>
        <n v="1070"/>
        <n v="960"/>
        <n v="1330"/>
        <n v="3000"/>
        <n v="1140"/>
        <n v="1830"/>
        <n v="3050"/>
        <n v="1090"/>
        <n v="1880"/>
        <n v="3100"/>
        <n v="1210"/>
        <n v="1930"/>
        <n v="3150"/>
        <n v="760"/>
        <n v="1980"/>
        <n v="3200"/>
        <n v="1170"/>
        <n v="2030"/>
        <n v="3250"/>
        <n v="1190"/>
        <n v="2130"/>
        <n v="3300"/>
        <n v="1390"/>
        <n v="2180"/>
        <n v="3350"/>
        <n v="1430"/>
        <n v="1240"/>
        <n v="1260"/>
        <n v="2230"/>
        <n v="3400"/>
        <n v="1460"/>
        <n v="990"/>
        <n v="1270"/>
        <n v="1290"/>
        <n v="2280"/>
        <n v="3450"/>
        <n v="1490"/>
        <n v="1160"/>
        <n v="2330"/>
        <n v="3500"/>
        <n v="1520"/>
        <n v="1340"/>
        <n v="1380"/>
        <n v="2530"/>
        <n v="3550"/>
        <n v="1220"/>
        <n v="1370"/>
        <n v="1410"/>
        <n v="2580"/>
        <n v="3600"/>
        <n v="1440"/>
        <n v="2630"/>
        <n v="3650"/>
        <n v="1610"/>
        <n v="1470"/>
        <n v="2680"/>
        <n v="3700"/>
        <n v="1640"/>
        <n v="1310"/>
        <n v="2730"/>
        <n v="3750"/>
        <n v="1670"/>
      </sharedItems>
    </cacheField>
    <cacheField name="ClaimFiled_Last5Yrs" numFmtId="0">
      <sharedItems/>
    </cacheField>
    <cacheField name="AntiTheftDevice" numFmtId="0">
      <sharedItems/>
    </cacheField>
    <cacheField name="Accident_Last3Yrs" numFmtId="0">
      <sharedItems/>
    </cacheField>
    <cacheField name="Months (ExpiryDate)" numFmtId="0" databaseField="0">
      <fieldGroup base="1">
        <rangePr groupBy="months" startDate="2025-11-02T00:00:00" endDate="2026-12-24T00:00:00"/>
        <groupItems count="14">
          <s v="&lt;11/2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4/26"/>
        </groupItems>
      </fieldGroup>
    </cacheField>
    <cacheField name="Quarters (ExpiryDate)" numFmtId="0" databaseField="0">
      <fieldGroup base="1">
        <rangePr groupBy="quarters" startDate="2025-11-02T00:00:00" endDate="2026-12-24T00:00:00"/>
        <groupItems count="6">
          <s v="&lt;11/2/25"/>
          <s v="Qtr1"/>
          <s v="Qtr2"/>
          <s v="Qtr3"/>
          <s v="Qtr4"/>
          <s v="&gt;12/24/26"/>
        </groupItems>
      </fieldGroup>
    </cacheField>
    <cacheField name="Years (ExpiryDate)" numFmtId="0" databaseField="0">
      <fieldGroup base="1">
        <rangePr groupBy="years" startDate="2025-11-02T00:00:00" endDate="2026-12-24T00:00:00"/>
        <groupItems count="4">
          <s v="&lt;11/2/25"/>
          <s v="2025"/>
          <s v="2026"/>
          <s v="&gt;12/24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10001"/>
    <x v="0"/>
    <s v="Toyota"/>
    <x v="0"/>
    <x v="0"/>
    <x v="0"/>
    <x v="0"/>
    <x v="0"/>
    <s v="N"/>
    <s v="Y"/>
    <s v="N"/>
  </r>
  <r>
    <s v="A10002"/>
    <x v="1"/>
    <s v="Honda"/>
    <x v="1"/>
    <x v="1"/>
    <x v="1"/>
    <x v="1"/>
    <x v="1"/>
    <s v="N"/>
    <s v="Y"/>
    <s v="N"/>
  </r>
  <r>
    <s v="A10003"/>
    <x v="2"/>
    <s v="Ford"/>
    <x v="2"/>
    <x v="2"/>
    <x v="2"/>
    <x v="0"/>
    <x v="2"/>
    <s v="Y"/>
    <s v="N"/>
    <s v="Y"/>
  </r>
  <r>
    <s v="A10004"/>
    <x v="3"/>
    <s v="Chevrolet"/>
    <x v="3"/>
    <x v="3"/>
    <x v="3"/>
    <x v="2"/>
    <x v="3"/>
    <s v="N"/>
    <s v="Y"/>
    <s v="N"/>
  </r>
  <r>
    <s v="A10005"/>
    <x v="4"/>
    <s v="BMW"/>
    <x v="4"/>
    <x v="4"/>
    <x v="0"/>
    <x v="0"/>
    <x v="4"/>
    <s v="N"/>
    <s v="Y"/>
    <s v="N"/>
  </r>
  <r>
    <s v="A10006"/>
    <x v="5"/>
    <s v="Nissan"/>
    <x v="5"/>
    <x v="5"/>
    <x v="1"/>
    <x v="1"/>
    <x v="5"/>
    <s v="N"/>
    <s v="Y"/>
    <s v="N"/>
  </r>
  <r>
    <s v="A10007"/>
    <x v="6"/>
    <s v="Jeep"/>
    <x v="6"/>
    <x v="6"/>
    <x v="3"/>
    <x v="0"/>
    <x v="6"/>
    <s v="Y"/>
    <s v="N"/>
    <s v="N"/>
  </r>
  <r>
    <s v="A10008"/>
    <x v="7"/>
    <s v="Mercedes"/>
    <x v="4"/>
    <x v="7"/>
    <x v="2"/>
    <x v="0"/>
    <x v="7"/>
    <s v="N"/>
    <s v="Y"/>
    <s v="N"/>
  </r>
  <r>
    <s v="A10009"/>
    <x v="8"/>
    <s v="Subaru"/>
    <x v="7"/>
    <x v="8"/>
    <x v="0"/>
    <x v="1"/>
    <x v="8"/>
    <s v="N"/>
    <s v="Y"/>
    <s v="Y"/>
  </r>
  <r>
    <s v="A10010"/>
    <x v="9"/>
    <s v="Kia"/>
    <x v="6"/>
    <x v="9"/>
    <x v="1"/>
    <x v="0"/>
    <x v="9"/>
    <s v="Y"/>
    <s v="Y"/>
    <s v="N"/>
  </r>
  <r>
    <s v="A10011"/>
    <x v="10"/>
    <s v="Toyota"/>
    <x v="8"/>
    <x v="10"/>
    <x v="2"/>
    <x v="1"/>
    <x v="10"/>
    <s v="N"/>
    <s v="Y"/>
    <s v="N"/>
  </r>
  <r>
    <s v="A10012"/>
    <x v="11"/>
    <s v="Honda"/>
    <x v="2"/>
    <x v="11"/>
    <x v="3"/>
    <x v="0"/>
    <x v="11"/>
    <s v="N"/>
    <s v="Y"/>
    <s v="N"/>
  </r>
  <r>
    <s v="A10013"/>
    <x v="12"/>
    <s v="Ford"/>
    <x v="9"/>
    <x v="12"/>
    <x v="0"/>
    <x v="2"/>
    <x v="12"/>
    <s v="N"/>
    <s v="Y"/>
    <s v="N"/>
  </r>
  <r>
    <s v="A10014"/>
    <x v="13"/>
    <s v="Chevrolet"/>
    <x v="6"/>
    <x v="13"/>
    <x v="1"/>
    <x v="0"/>
    <x v="13"/>
    <s v="Y"/>
    <s v="N"/>
    <s v="Y"/>
  </r>
  <r>
    <s v="A10015"/>
    <x v="14"/>
    <s v="BMW"/>
    <x v="1"/>
    <x v="14"/>
    <x v="2"/>
    <x v="1"/>
    <x v="14"/>
    <s v="N"/>
    <s v="Y"/>
    <s v="N"/>
  </r>
  <r>
    <s v="A10016"/>
    <x v="15"/>
    <s v="Nissan"/>
    <x v="4"/>
    <x v="15"/>
    <x v="3"/>
    <x v="0"/>
    <x v="15"/>
    <s v="N"/>
    <s v="Y"/>
    <s v="N"/>
  </r>
  <r>
    <s v="A10017"/>
    <x v="16"/>
    <s v="Jeep"/>
    <x v="7"/>
    <x v="16"/>
    <x v="0"/>
    <x v="1"/>
    <x v="16"/>
    <s v="N"/>
    <s v="Y"/>
    <s v="N"/>
  </r>
  <r>
    <s v="A10018"/>
    <x v="17"/>
    <s v="Mercedes"/>
    <x v="2"/>
    <x v="17"/>
    <x v="1"/>
    <x v="0"/>
    <x v="17"/>
    <s v="Y"/>
    <s v="Y"/>
    <s v="N"/>
  </r>
  <r>
    <s v="A10019"/>
    <x v="18"/>
    <s v="Subaru"/>
    <x v="5"/>
    <x v="18"/>
    <x v="2"/>
    <x v="2"/>
    <x v="18"/>
    <s v="N"/>
    <s v="Y"/>
    <s v="N"/>
  </r>
  <r>
    <s v="A10020"/>
    <x v="19"/>
    <s v="Kia"/>
    <x v="4"/>
    <x v="19"/>
    <x v="3"/>
    <x v="0"/>
    <x v="19"/>
    <s v="Y"/>
    <s v="N"/>
    <s v="Y"/>
  </r>
  <r>
    <s v="A10021"/>
    <x v="20"/>
    <s v="Toyota"/>
    <x v="4"/>
    <x v="20"/>
    <x v="0"/>
    <x v="0"/>
    <x v="20"/>
    <s v="N"/>
    <s v="Y"/>
    <s v="N"/>
  </r>
  <r>
    <s v="A10022"/>
    <x v="21"/>
    <s v="Honda"/>
    <x v="7"/>
    <x v="21"/>
    <x v="1"/>
    <x v="1"/>
    <x v="21"/>
    <s v="Y"/>
    <s v="Y"/>
    <s v="N"/>
  </r>
  <r>
    <s v="A10023"/>
    <x v="22"/>
    <s v="Ford"/>
    <x v="2"/>
    <x v="22"/>
    <x v="2"/>
    <x v="0"/>
    <x v="22"/>
    <s v="N"/>
    <s v="N"/>
    <s v="N"/>
  </r>
  <r>
    <s v="A10024"/>
    <x v="23"/>
    <s v="Chevrolet"/>
    <x v="10"/>
    <x v="23"/>
    <x v="3"/>
    <x v="2"/>
    <x v="23"/>
    <s v="N"/>
    <s v="Y"/>
    <s v="N"/>
  </r>
  <r>
    <s v="A10025"/>
    <x v="24"/>
    <s v="BMW"/>
    <x v="9"/>
    <x v="24"/>
    <x v="0"/>
    <x v="0"/>
    <x v="15"/>
    <s v="Y"/>
    <s v="Y"/>
    <s v="Y"/>
  </r>
  <r>
    <s v="A10026"/>
    <x v="25"/>
    <s v="Nissan"/>
    <x v="8"/>
    <x v="25"/>
    <x v="1"/>
    <x v="1"/>
    <x v="24"/>
    <s v="N"/>
    <s v="Y"/>
    <s v="N"/>
  </r>
  <r>
    <s v="A10027"/>
    <x v="26"/>
    <s v="Jeep"/>
    <x v="6"/>
    <x v="26"/>
    <x v="3"/>
    <x v="0"/>
    <x v="4"/>
    <s v="N"/>
    <s v="N"/>
    <s v="N"/>
  </r>
  <r>
    <s v="A10028"/>
    <x v="27"/>
    <s v="Mercedes"/>
    <x v="2"/>
    <x v="27"/>
    <x v="2"/>
    <x v="0"/>
    <x v="25"/>
    <s v="N"/>
    <s v="Y"/>
    <s v="N"/>
  </r>
  <r>
    <s v="A10029"/>
    <x v="28"/>
    <s v="Subaru"/>
    <x v="1"/>
    <x v="28"/>
    <x v="0"/>
    <x v="1"/>
    <x v="26"/>
    <s v="Y"/>
    <s v="Y"/>
    <s v="N"/>
  </r>
  <r>
    <s v="A10030"/>
    <x v="29"/>
    <s v="Kia"/>
    <x v="4"/>
    <x v="29"/>
    <x v="1"/>
    <x v="0"/>
    <x v="27"/>
    <s v="N"/>
    <s v="N"/>
    <s v="Y"/>
  </r>
  <r>
    <s v="A10031"/>
    <x v="30"/>
    <s v="Toyota"/>
    <x v="5"/>
    <x v="30"/>
    <x v="2"/>
    <x v="1"/>
    <x v="28"/>
    <s v="N"/>
    <s v="Y"/>
    <s v="N"/>
  </r>
  <r>
    <s v="A10032"/>
    <x v="31"/>
    <s v="Honda"/>
    <x v="6"/>
    <x v="31"/>
    <x v="3"/>
    <x v="0"/>
    <x v="29"/>
    <s v="N"/>
    <s v="Y"/>
    <s v="N"/>
  </r>
  <r>
    <s v="A10033"/>
    <x v="32"/>
    <s v="Ford"/>
    <x v="10"/>
    <x v="32"/>
    <x v="0"/>
    <x v="2"/>
    <x v="30"/>
    <s v="Y"/>
    <s v="Y"/>
    <s v="N"/>
  </r>
  <r>
    <s v="A10034"/>
    <x v="33"/>
    <s v="Chevrolet"/>
    <x v="6"/>
    <x v="33"/>
    <x v="1"/>
    <x v="0"/>
    <x v="31"/>
    <s v="N"/>
    <s v="N"/>
    <s v="Y"/>
  </r>
  <r>
    <s v="A10035"/>
    <x v="34"/>
    <s v="BMW"/>
    <x v="5"/>
    <x v="34"/>
    <x v="2"/>
    <x v="1"/>
    <x v="3"/>
    <s v="N"/>
    <s v="Y"/>
    <s v="N"/>
  </r>
  <r>
    <s v="A10036"/>
    <x v="35"/>
    <s v="Nissan"/>
    <x v="2"/>
    <x v="35"/>
    <x v="3"/>
    <x v="0"/>
    <x v="6"/>
    <s v="N"/>
    <s v="Y"/>
    <s v="N"/>
  </r>
  <r>
    <s v="A10037"/>
    <x v="36"/>
    <s v="Jeep"/>
    <x v="8"/>
    <x v="36"/>
    <x v="0"/>
    <x v="1"/>
    <x v="32"/>
    <s v="N"/>
    <s v="Y"/>
    <s v="N"/>
  </r>
  <r>
    <s v="A10038"/>
    <x v="37"/>
    <s v="Mercedes"/>
    <x v="6"/>
    <x v="37"/>
    <x v="1"/>
    <x v="0"/>
    <x v="33"/>
    <s v="Y"/>
    <s v="Y"/>
    <s v="N"/>
  </r>
  <r>
    <s v="A10039"/>
    <x v="38"/>
    <s v="Subaru"/>
    <x v="9"/>
    <x v="38"/>
    <x v="2"/>
    <x v="2"/>
    <x v="34"/>
    <s v="N"/>
    <s v="Y"/>
    <s v="N"/>
  </r>
  <r>
    <s v="A10040"/>
    <x v="39"/>
    <s v="Kia"/>
    <x v="4"/>
    <x v="39"/>
    <x v="3"/>
    <x v="0"/>
    <x v="35"/>
    <s v="Y"/>
    <s v="N"/>
    <s v="N"/>
  </r>
  <r>
    <s v="A10041"/>
    <x v="40"/>
    <s v="Toyota"/>
    <x v="2"/>
    <x v="40"/>
    <x v="0"/>
    <x v="0"/>
    <x v="11"/>
    <s v="N"/>
    <s v="Y"/>
    <s v="N"/>
  </r>
  <r>
    <s v="A10042"/>
    <x v="41"/>
    <s v="Honda"/>
    <x v="5"/>
    <x v="7"/>
    <x v="1"/>
    <x v="1"/>
    <x v="36"/>
    <s v="N"/>
    <s v="Y"/>
    <s v="Y"/>
  </r>
  <r>
    <s v="A10043"/>
    <x v="42"/>
    <s v="Ford"/>
    <x v="6"/>
    <x v="2"/>
    <x v="2"/>
    <x v="0"/>
    <x v="13"/>
    <s v="Y"/>
    <s v="N"/>
    <s v="N"/>
  </r>
  <r>
    <s v="A10044"/>
    <x v="43"/>
    <s v="Chevrolet"/>
    <x v="3"/>
    <x v="41"/>
    <x v="3"/>
    <x v="2"/>
    <x v="37"/>
    <s v="N"/>
    <s v="Y"/>
    <s v="N"/>
  </r>
  <r>
    <s v="A10045"/>
    <x v="44"/>
    <s v="BMW"/>
    <x v="4"/>
    <x v="42"/>
    <x v="0"/>
    <x v="0"/>
    <x v="38"/>
    <s v="N"/>
    <s v="Y"/>
    <s v="N"/>
  </r>
  <r>
    <s v="A10046"/>
    <x v="45"/>
    <s v="Nissan"/>
    <x v="7"/>
    <x v="43"/>
    <x v="1"/>
    <x v="1"/>
    <x v="39"/>
    <s v="N"/>
    <s v="Y"/>
    <s v="N"/>
  </r>
  <r>
    <s v="A10047"/>
    <x v="46"/>
    <s v="Jeep"/>
    <x v="6"/>
    <x v="15"/>
    <x v="3"/>
    <x v="0"/>
    <x v="38"/>
    <s v="Y"/>
    <s v="N"/>
    <s v="N"/>
  </r>
  <r>
    <s v="A10048"/>
    <x v="47"/>
    <s v="Mercedes"/>
    <x v="2"/>
    <x v="18"/>
    <x v="2"/>
    <x v="0"/>
    <x v="17"/>
    <s v="N"/>
    <s v="Y"/>
    <s v="N"/>
  </r>
  <r>
    <s v="A10049"/>
    <x v="48"/>
    <s v="Subaru"/>
    <x v="8"/>
    <x v="20"/>
    <x v="0"/>
    <x v="1"/>
    <x v="40"/>
    <s v="N"/>
    <s v="Y"/>
    <s v="N"/>
  </r>
  <r>
    <s v="A10050"/>
    <x v="49"/>
    <s v="Kia"/>
    <x v="2"/>
    <x v="29"/>
    <x v="1"/>
    <x v="0"/>
    <x v="35"/>
    <s v="Y"/>
    <s v="Y"/>
    <s v="Y"/>
  </r>
  <r>
    <s v="A10051"/>
    <x v="50"/>
    <s v="Toyota"/>
    <x v="7"/>
    <x v="44"/>
    <x v="2"/>
    <x v="1"/>
    <x v="41"/>
    <s v="N"/>
    <s v="Y"/>
    <s v="N"/>
  </r>
  <r>
    <s v="A10052"/>
    <x v="51"/>
    <s v="Honda"/>
    <x v="6"/>
    <x v="45"/>
    <x v="3"/>
    <x v="0"/>
    <x v="7"/>
    <s v="N"/>
    <s v="Y"/>
    <s v="N"/>
  </r>
  <r>
    <s v="A10053"/>
    <x v="52"/>
    <s v="Ford"/>
    <x v="3"/>
    <x v="46"/>
    <x v="0"/>
    <x v="2"/>
    <x v="42"/>
    <s v="Y"/>
    <s v="Y"/>
    <s v="N"/>
  </r>
  <r>
    <s v="A10054"/>
    <x v="53"/>
    <s v="Chevrolet"/>
    <x v="6"/>
    <x v="22"/>
    <x v="1"/>
    <x v="0"/>
    <x v="43"/>
    <s v="N"/>
    <s v="N"/>
    <s v="Y"/>
  </r>
  <r>
    <s v="A10055"/>
    <x v="54"/>
    <s v="BMW"/>
    <x v="7"/>
    <x v="47"/>
    <x v="2"/>
    <x v="1"/>
    <x v="44"/>
    <s v="N"/>
    <s v="Y"/>
    <s v="N"/>
  </r>
  <r>
    <s v="A10056"/>
    <x v="55"/>
    <s v="Nissan"/>
    <x v="2"/>
    <x v="11"/>
    <x v="3"/>
    <x v="0"/>
    <x v="45"/>
    <s v="N"/>
    <s v="Y"/>
    <s v="N"/>
  </r>
  <r>
    <s v="A10057"/>
    <x v="56"/>
    <s v="Jeep"/>
    <x v="5"/>
    <x v="48"/>
    <x v="0"/>
    <x v="1"/>
    <x v="46"/>
    <s v="N"/>
    <s v="Y"/>
    <s v="N"/>
  </r>
  <r>
    <s v="A10058"/>
    <x v="57"/>
    <s v="Mercedes"/>
    <x v="6"/>
    <x v="28"/>
    <x v="1"/>
    <x v="0"/>
    <x v="45"/>
    <s v="Y"/>
    <s v="Y"/>
    <s v="N"/>
  </r>
  <r>
    <s v="A10059"/>
    <x v="58"/>
    <s v="Subaru"/>
    <x v="10"/>
    <x v="3"/>
    <x v="2"/>
    <x v="2"/>
    <x v="47"/>
    <s v="N"/>
    <s v="Y"/>
    <s v="N"/>
  </r>
  <r>
    <s v="A10060"/>
    <x v="59"/>
    <s v="Kia"/>
    <x v="2"/>
    <x v="6"/>
    <x v="3"/>
    <x v="0"/>
    <x v="48"/>
    <s v="Y"/>
    <s v="N"/>
    <s v="N"/>
  </r>
  <r>
    <s v="A10061"/>
    <x v="60"/>
    <s v="Toyota"/>
    <x v="2"/>
    <x v="12"/>
    <x v="0"/>
    <x v="0"/>
    <x v="29"/>
    <s v="N"/>
    <s v="Y"/>
    <s v="N"/>
  </r>
  <r>
    <s v="A10062"/>
    <x v="61"/>
    <s v="Honda"/>
    <x v="1"/>
    <x v="27"/>
    <x v="1"/>
    <x v="1"/>
    <x v="49"/>
    <s v="N"/>
    <s v="Y"/>
    <s v="N"/>
  </r>
  <r>
    <s v="A10063"/>
    <x v="48"/>
    <s v="Ford"/>
    <x v="6"/>
    <x v="19"/>
    <x v="2"/>
    <x v="0"/>
    <x v="31"/>
    <s v="Y"/>
    <s v="N"/>
    <s v="Y"/>
  </r>
  <r>
    <s v="A10064"/>
    <x v="62"/>
    <s v="Chevrolet"/>
    <x v="11"/>
    <x v="49"/>
    <x v="3"/>
    <x v="2"/>
    <x v="30"/>
    <s v="N"/>
    <s v="Y"/>
    <s v="N"/>
  </r>
  <r>
    <s v="A10065"/>
    <x v="63"/>
    <s v="BMW"/>
    <x v="4"/>
    <x v="32"/>
    <x v="0"/>
    <x v="0"/>
    <x v="50"/>
    <s v="N"/>
    <s v="Y"/>
    <s v="N"/>
  </r>
  <r>
    <s v="A10066"/>
    <x v="64"/>
    <s v="Nissan"/>
    <x v="5"/>
    <x v="50"/>
    <x v="1"/>
    <x v="1"/>
    <x v="51"/>
    <s v="N"/>
    <s v="Y"/>
    <s v="N"/>
  </r>
  <r>
    <s v="A10067"/>
    <x v="30"/>
    <s v="Jeep"/>
    <x v="6"/>
    <x v="35"/>
    <x v="3"/>
    <x v="0"/>
    <x v="50"/>
    <s v="Y"/>
    <s v="N"/>
    <s v="N"/>
  </r>
  <r>
    <s v="A10068"/>
    <x v="65"/>
    <s v="Mercedes"/>
    <x v="2"/>
    <x v="38"/>
    <x v="2"/>
    <x v="0"/>
    <x v="33"/>
    <s v="N"/>
    <s v="Y"/>
    <s v="N"/>
  </r>
  <r>
    <s v="A10069"/>
    <x v="66"/>
    <s v="Subaru"/>
    <x v="7"/>
    <x v="4"/>
    <x v="0"/>
    <x v="1"/>
    <x v="52"/>
    <s v="N"/>
    <s v="Y"/>
    <s v="Y"/>
  </r>
  <r>
    <s v="A10070"/>
    <x v="67"/>
    <s v="Kia"/>
    <x v="6"/>
    <x v="39"/>
    <x v="1"/>
    <x v="0"/>
    <x v="19"/>
    <s v="Y"/>
    <s v="Y"/>
    <s v="N"/>
  </r>
  <r>
    <s v="A10071"/>
    <x v="68"/>
    <s v="Toyota"/>
    <x v="1"/>
    <x v="51"/>
    <x v="2"/>
    <x v="1"/>
    <x v="53"/>
    <s v="N"/>
    <s v="Y"/>
    <s v="N"/>
  </r>
  <r>
    <s v="A10072"/>
    <x v="69"/>
    <s v="Honda"/>
    <x v="6"/>
    <x v="0"/>
    <x v="3"/>
    <x v="0"/>
    <x v="25"/>
    <s v="N"/>
    <s v="Y"/>
    <s v="N"/>
  </r>
  <r>
    <s v="A10073"/>
    <x v="70"/>
    <s v="Ford"/>
    <x v="11"/>
    <x v="1"/>
    <x v="0"/>
    <x v="2"/>
    <x v="18"/>
    <s v="Y"/>
    <s v="Y"/>
    <s v="N"/>
  </r>
  <r>
    <s v="A10074"/>
    <x v="9"/>
    <s v="Chevrolet"/>
    <x v="6"/>
    <x v="13"/>
    <x v="1"/>
    <x v="0"/>
    <x v="54"/>
    <s v="N"/>
    <s v="N"/>
    <s v="Y"/>
  </r>
  <r>
    <s v="A10075"/>
    <x v="71"/>
    <s v="BMW"/>
    <x v="1"/>
    <x v="5"/>
    <x v="2"/>
    <x v="1"/>
    <x v="55"/>
    <s v="N"/>
    <s v="Y"/>
    <s v="N"/>
  </r>
  <r>
    <s v="A10076"/>
    <x v="72"/>
    <s v="Nissan"/>
    <x v="2"/>
    <x v="31"/>
    <x v="3"/>
    <x v="0"/>
    <x v="4"/>
    <s v="N"/>
    <s v="Y"/>
    <s v="N"/>
  </r>
  <r>
    <s v="A10077"/>
    <x v="73"/>
    <s v="Jeep"/>
    <x v="7"/>
    <x v="52"/>
    <x v="0"/>
    <x v="1"/>
    <x v="56"/>
    <s v="N"/>
    <s v="Y"/>
    <s v="N"/>
  </r>
  <r>
    <s v="A10078"/>
    <x v="74"/>
    <s v="Mercedes"/>
    <x v="6"/>
    <x v="8"/>
    <x v="1"/>
    <x v="0"/>
    <x v="15"/>
    <s v="Y"/>
    <s v="Y"/>
    <s v="N"/>
  </r>
  <r>
    <s v="A10079"/>
    <x v="75"/>
    <s v="Subaru"/>
    <x v="3"/>
    <x v="41"/>
    <x v="2"/>
    <x v="2"/>
    <x v="57"/>
    <s v="N"/>
    <s v="Y"/>
    <s v="N"/>
  </r>
  <r>
    <s v="A10080"/>
    <x v="76"/>
    <s v="Kia"/>
    <x v="6"/>
    <x v="15"/>
    <x v="3"/>
    <x v="0"/>
    <x v="58"/>
    <s v="Y"/>
    <s v="N"/>
    <s v="N"/>
  </r>
  <r>
    <s v="A10081"/>
    <x v="77"/>
    <s v="Toyota"/>
    <x v="6"/>
    <x v="46"/>
    <x v="0"/>
    <x v="0"/>
    <x v="7"/>
    <s v="N"/>
    <s v="Y"/>
    <s v="N"/>
  </r>
  <r>
    <s v="A10082"/>
    <x v="78"/>
    <s v="Honda"/>
    <x v="9"/>
    <x v="18"/>
    <x v="1"/>
    <x v="1"/>
    <x v="40"/>
    <s v="N"/>
    <s v="Y"/>
    <s v="N"/>
  </r>
  <r>
    <s v="A10083"/>
    <x v="4"/>
    <s v="Ford"/>
    <x v="6"/>
    <x v="9"/>
    <x v="2"/>
    <x v="0"/>
    <x v="43"/>
    <s v="Y"/>
    <s v="N"/>
    <s v="Y"/>
  </r>
  <r>
    <s v="A10084"/>
    <x v="79"/>
    <s v="Chevrolet"/>
    <x v="0"/>
    <x v="14"/>
    <x v="3"/>
    <x v="2"/>
    <x v="12"/>
    <s v="N"/>
    <s v="Y"/>
    <s v="N"/>
  </r>
  <r>
    <s v="A10085"/>
    <x v="13"/>
    <s v="BMW"/>
    <x v="2"/>
    <x v="1"/>
    <x v="0"/>
    <x v="0"/>
    <x v="59"/>
    <s v="N"/>
    <s v="Y"/>
    <s v="N"/>
  </r>
  <r>
    <s v="A10086"/>
    <x v="80"/>
    <s v="Nissan"/>
    <x v="1"/>
    <x v="25"/>
    <x v="1"/>
    <x v="1"/>
    <x v="60"/>
    <s v="N"/>
    <s v="Y"/>
    <s v="N"/>
  </r>
  <r>
    <s v="A10087"/>
    <x v="81"/>
    <s v="Jeep"/>
    <x v="6"/>
    <x v="45"/>
    <x v="3"/>
    <x v="0"/>
    <x v="59"/>
    <s v="Y"/>
    <s v="N"/>
    <s v="N"/>
  </r>
  <r>
    <s v="A10088"/>
    <x v="82"/>
    <s v="Mercedes"/>
    <x v="6"/>
    <x v="3"/>
    <x v="2"/>
    <x v="0"/>
    <x v="61"/>
    <s v="N"/>
    <s v="Y"/>
    <s v="N"/>
  </r>
  <r>
    <s v="A10089"/>
    <x v="83"/>
    <s v="Subaru"/>
    <x v="5"/>
    <x v="24"/>
    <x v="0"/>
    <x v="1"/>
    <x v="62"/>
    <s v="N"/>
    <s v="Y"/>
    <s v="N"/>
  </r>
  <r>
    <s v="A10090"/>
    <x v="84"/>
    <s v="Kia"/>
    <x v="6"/>
    <x v="6"/>
    <x v="1"/>
    <x v="0"/>
    <x v="48"/>
    <s v="Y"/>
    <s v="Y"/>
    <s v="Y"/>
  </r>
  <r>
    <s v="A10091"/>
    <x v="85"/>
    <s v="Toyota"/>
    <x v="9"/>
    <x v="16"/>
    <x v="2"/>
    <x v="1"/>
    <x v="63"/>
    <s v="N"/>
    <s v="Y"/>
    <s v="N"/>
  </r>
  <r>
    <s v="A10092"/>
    <x v="86"/>
    <s v="Honda"/>
    <x v="6"/>
    <x v="37"/>
    <x v="3"/>
    <x v="0"/>
    <x v="17"/>
    <s v="N"/>
    <s v="Y"/>
    <s v="N"/>
  </r>
  <r>
    <s v="A10093"/>
    <x v="87"/>
    <s v="Ford"/>
    <x v="0"/>
    <x v="53"/>
    <x v="0"/>
    <x v="2"/>
    <x v="34"/>
    <s v="Y"/>
    <s v="Y"/>
    <s v="N"/>
  </r>
  <r>
    <s v="A10094"/>
    <x v="88"/>
    <s v="Chevrolet"/>
    <x v="6"/>
    <x v="2"/>
    <x v="1"/>
    <x v="0"/>
    <x v="64"/>
    <s v="N"/>
    <s v="N"/>
    <s v="Y"/>
  </r>
  <r>
    <s v="A10095"/>
    <x v="89"/>
    <s v="BMW"/>
    <x v="9"/>
    <x v="43"/>
    <x v="2"/>
    <x v="1"/>
    <x v="65"/>
    <s v="N"/>
    <s v="Y"/>
    <s v="N"/>
  </r>
  <r>
    <s v="A10096"/>
    <x v="12"/>
    <s v="Nissan"/>
    <x v="6"/>
    <x v="0"/>
    <x v="3"/>
    <x v="0"/>
    <x v="38"/>
    <s v="N"/>
    <s v="Y"/>
    <s v="N"/>
  </r>
  <r>
    <s v="A10097"/>
    <x v="1"/>
    <s v="Jeep"/>
    <x v="5"/>
    <x v="54"/>
    <x v="0"/>
    <x v="1"/>
    <x v="66"/>
    <s v="N"/>
    <s v="Y"/>
    <s v="N"/>
  </r>
  <r>
    <s v="A10098"/>
    <x v="90"/>
    <s v="Mercedes"/>
    <x v="6"/>
    <x v="20"/>
    <x v="1"/>
    <x v="0"/>
    <x v="6"/>
    <s v="Y"/>
    <s v="Y"/>
    <s v="N"/>
  </r>
  <r>
    <s v="A10099"/>
    <x v="64"/>
    <s v="Subaru"/>
    <x v="11"/>
    <x v="49"/>
    <x v="2"/>
    <x v="2"/>
    <x v="67"/>
    <s v="N"/>
    <s v="Y"/>
    <s v="N"/>
  </r>
  <r>
    <s v="A10100"/>
    <x v="39"/>
    <s v="Kia"/>
    <x v="6"/>
    <x v="26"/>
    <x v="3"/>
    <x v="0"/>
    <x v="2"/>
    <s v="Y"/>
    <s v="N"/>
    <s v="N"/>
  </r>
  <r>
    <s v="A10101"/>
    <x v="91"/>
    <s v="Toyota"/>
    <x v="4"/>
    <x v="17"/>
    <x v="0"/>
    <x v="0"/>
    <x v="68"/>
    <s v="N"/>
    <s v="Y"/>
    <s v="N"/>
  </r>
  <r>
    <s v="A10102"/>
    <x v="16"/>
    <s v="Honda"/>
    <x v="10"/>
    <x v="21"/>
    <x v="1"/>
    <x v="1"/>
    <x v="52"/>
    <s v="Y"/>
    <s v="Y"/>
    <s v="N"/>
  </r>
  <r>
    <s v="A10103"/>
    <x v="92"/>
    <s v="Ford"/>
    <x v="2"/>
    <x v="22"/>
    <x v="2"/>
    <x v="0"/>
    <x v="13"/>
    <s v="N"/>
    <s v="N"/>
    <s v="Y"/>
  </r>
  <r>
    <s v="A10104"/>
    <x v="93"/>
    <s v="Chevrolet"/>
    <x v="3"/>
    <x v="23"/>
    <x v="3"/>
    <x v="2"/>
    <x v="69"/>
    <s v="N"/>
    <s v="Y"/>
    <s v="N"/>
  </r>
  <r>
    <s v="A10105"/>
    <x v="94"/>
    <s v="BMW"/>
    <x v="2"/>
    <x v="40"/>
    <x v="0"/>
    <x v="0"/>
    <x v="50"/>
    <s v="Y"/>
    <s v="Y"/>
    <s v="N"/>
  </r>
  <r>
    <s v="A10106"/>
    <x v="95"/>
    <s v="Nissan"/>
    <x v="9"/>
    <x v="50"/>
    <x v="1"/>
    <x v="1"/>
    <x v="70"/>
    <s v="N"/>
    <s v="Y"/>
    <s v="N"/>
  </r>
  <r>
    <s v="A10107"/>
    <x v="96"/>
    <s v="Jeep"/>
    <x v="6"/>
    <x v="26"/>
    <x v="3"/>
    <x v="0"/>
    <x v="50"/>
    <s v="N"/>
    <s v="N"/>
    <s v="N"/>
  </r>
  <r>
    <s v="A10108"/>
    <x v="97"/>
    <s v="Mercedes"/>
    <x v="2"/>
    <x v="7"/>
    <x v="2"/>
    <x v="0"/>
    <x v="33"/>
    <s v="N"/>
    <s v="Y"/>
    <s v="N"/>
  </r>
  <r>
    <s v="A10109"/>
    <x v="13"/>
    <s v="Subaru"/>
    <x v="10"/>
    <x v="8"/>
    <x v="0"/>
    <x v="1"/>
    <x v="71"/>
    <s v="Y"/>
    <s v="Y"/>
    <s v="Y"/>
  </r>
  <r>
    <s v="A10110"/>
    <x v="7"/>
    <s v="Kia"/>
    <x v="6"/>
    <x v="29"/>
    <x v="1"/>
    <x v="0"/>
    <x v="58"/>
    <s v="N"/>
    <s v="Y"/>
    <s v="N"/>
  </r>
  <r>
    <s v="A10111"/>
    <x v="45"/>
    <s v="Toyota"/>
    <x v="5"/>
    <x v="30"/>
    <x v="2"/>
    <x v="1"/>
    <x v="72"/>
    <s v="N"/>
    <s v="Y"/>
    <s v="N"/>
  </r>
  <r>
    <s v="A10112"/>
    <x v="76"/>
    <s v="Honda"/>
    <x v="2"/>
    <x v="11"/>
    <x v="3"/>
    <x v="0"/>
    <x v="68"/>
    <s v="N"/>
    <s v="Y"/>
    <s v="N"/>
  </r>
  <r>
    <s v="A10113"/>
    <x v="98"/>
    <s v="Ford"/>
    <x v="3"/>
    <x v="32"/>
    <x v="0"/>
    <x v="2"/>
    <x v="73"/>
    <s v="Y"/>
    <s v="Y"/>
    <s v="N"/>
  </r>
  <r>
    <s v="A10114"/>
    <x v="34"/>
    <s v="Chevrolet"/>
    <x v="6"/>
    <x v="33"/>
    <x v="1"/>
    <x v="0"/>
    <x v="74"/>
    <s v="N"/>
    <s v="N"/>
    <s v="Y"/>
  </r>
  <r>
    <s v="A10115"/>
    <x v="42"/>
    <s v="BMW"/>
    <x v="1"/>
    <x v="34"/>
    <x v="2"/>
    <x v="1"/>
    <x v="69"/>
    <s v="N"/>
    <s v="Y"/>
    <s v="N"/>
  </r>
  <r>
    <s v="A10116"/>
    <x v="99"/>
    <s v="Nissan"/>
    <x v="2"/>
    <x v="35"/>
    <x v="3"/>
    <x v="0"/>
    <x v="4"/>
    <s v="N"/>
    <s v="Y"/>
    <s v="N"/>
  </r>
  <r>
    <s v="A10117"/>
    <x v="100"/>
    <s v="Jeep"/>
    <x v="9"/>
    <x v="36"/>
    <x v="0"/>
    <x v="1"/>
    <x v="51"/>
    <s v="N"/>
    <s v="Y"/>
    <s v="N"/>
  </r>
  <r>
    <s v="A10118"/>
    <x v="101"/>
    <s v="Mercedes"/>
    <x v="6"/>
    <x v="37"/>
    <x v="1"/>
    <x v="0"/>
    <x v="15"/>
    <s v="Y"/>
    <s v="Y"/>
    <s v="N"/>
  </r>
  <r>
    <s v="A10119"/>
    <x v="102"/>
    <s v="Subaru"/>
    <x v="3"/>
    <x v="38"/>
    <x v="2"/>
    <x v="2"/>
    <x v="57"/>
    <s v="N"/>
    <s v="Y"/>
    <s v="N"/>
  </r>
  <r>
    <s v="A10120"/>
    <x v="103"/>
    <s v="Kia"/>
    <x v="2"/>
    <x v="39"/>
    <x v="3"/>
    <x v="0"/>
    <x v="48"/>
    <s v="Y"/>
    <s v="N"/>
    <s v="N"/>
  </r>
  <r>
    <s v="A10121"/>
    <x v="74"/>
    <s v="Toyota"/>
    <x v="6"/>
    <x v="20"/>
    <x v="0"/>
    <x v="0"/>
    <x v="7"/>
    <s v="N"/>
    <s v="Y"/>
    <s v="N"/>
  </r>
  <r>
    <s v="A10122"/>
    <x v="104"/>
    <s v="Honda"/>
    <x v="1"/>
    <x v="27"/>
    <x v="1"/>
    <x v="1"/>
    <x v="40"/>
    <s v="N"/>
    <s v="Y"/>
    <s v="Y"/>
  </r>
  <r>
    <s v="A10123"/>
    <x v="105"/>
    <s v="Ford"/>
    <x v="6"/>
    <x v="19"/>
    <x v="2"/>
    <x v="0"/>
    <x v="31"/>
    <s v="Y"/>
    <s v="N"/>
    <s v="N"/>
  </r>
  <r>
    <s v="A10124"/>
    <x v="99"/>
    <s v="Chevrolet"/>
    <x v="11"/>
    <x v="49"/>
    <x v="3"/>
    <x v="2"/>
    <x v="75"/>
    <s v="N"/>
    <s v="Y"/>
    <s v="N"/>
  </r>
  <r>
    <s v="A10125"/>
    <x v="106"/>
    <s v="BMW"/>
    <x v="4"/>
    <x v="42"/>
    <x v="0"/>
    <x v="0"/>
    <x v="59"/>
    <s v="N"/>
    <s v="Y"/>
    <s v="N"/>
  </r>
  <r>
    <s v="A10126"/>
    <x v="107"/>
    <s v="Nissan"/>
    <x v="5"/>
    <x v="55"/>
    <x v="1"/>
    <x v="1"/>
    <x v="24"/>
    <s v="N"/>
    <s v="Y"/>
    <s v="N"/>
  </r>
  <r>
    <s v="A10127"/>
    <x v="108"/>
    <s v="Jeep"/>
    <x v="6"/>
    <x v="15"/>
    <x v="3"/>
    <x v="0"/>
    <x v="59"/>
    <s v="Y"/>
    <s v="N"/>
    <s v="N"/>
  </r>
  <r>
    <s v="A10128"/>
    <x v="109"/>
    <s v="Mercedes"/>
    <x v="2"/>
    <x v="18"/>
    <x v="2"/>
    <x v="0"/>
    <x v="61"/>
    <s v="N"/>
    <s v="Y"/>
    <s v="N"/>
  </r>
  <r>
    <s v="A10129"/>
    <x v="110"/>
    <s v="Subaru"/>
    <x v="9"/>
    <x v="4"/>
    <x v="0"/>
    <x v="1"/>
    <x v="8"/>
    <s v="N"/>
    <s v="Y"/>
    <s v="N"/>
  </r>
  <r>
    <s v="A10130"/>
    <x v="111"/>
    <s v="Kia"/>
    <x v="6"/>
    <x v="9"/>
    <x v="1"/>
    <x v="0"/>
    <x v="2"/>
    <s v="Y"/>
    <s v="Y"/>
    <s v="Y"/>
  </r>
  <r>
    <s v="A10131"/>
    <x v="112"/>
    <s v="Toyota"/>
    <x v="7"/>
    <x v="51"/>
    <x v="2"/>
    <x v="1"/>
    <x v="63"/>
    <s v="N"/>
    <s v="Y"/>
    <s v="N"/>
  </r>
  <r>
    <s v="A10132"/>
    <x v="113"/>
    <s v="Honda"/>
    <x v="6"/>
    <x v="31"/>
    <x v="3"/>
    <x v="0"/>
    <x v="76"/>
    <s v="N"/>
    <s v="Y"/>
    <s v="N"/>
  </r>
  <r>
    <s v="A10133"/>
    <x v="36"/>
    <s v="Ford"/>
    <x v="2"/>
    <x v="46"/>
    <x v="0"/>
    <x v="2"/>
    <x v="77"/>
    <s v="Y"/>
    <s v="Y"/>
    <s v="N"/>
  </r>
  <r>
    <s v="A10134"/>
    <x v="114"/>
    <s v="Chevrolet"/>
    <x v="6"/>
    <x v="13"/>
    <x v="1"/>
    <x v="0"/>
    <x v="78"/>
    <s v="N"/>
    <s v="N"/>
    <s v="Y"/>
  </r>
  <r>
    <s v="A10135"/>
    <x v="91"/>
    <s v="BMW"/>
    <x v="9"/>
    <x v="23"/>
    <x v="2"/>
    <x v="1"/>
    <x v="79"/>
    <s v="N"/>
    <s v="Y"/>
    <s v="N"/>
  </r>
  <r>
    <s v="A10136"/>
    <x v="115"/>
    <s v="Nissan"/>
    <x v="6"/>
    <x v="45"/>
    <x v="3"/>
    <x v="0"/>
    <x v="38"/>
    <s v="N"/>
    <s v="Y"/>
    <s v="N"/>
  </r>
  <r>
    <s v="A10137"/>
    <x v="10"/>
    <s v="Jeep"/>
    <x v="10"/>
    <x v="56"/>
    <x v="0"/>
    <x v="1"/>
    <x v="60"/>
    <s v="N"/>
    <s v="Y"/>
    <s v="N"/>
  </r>
  <r>
    <s v="A10138"/>
    <x v="109"/>
    <s v="Mercedes"/>
    <x v="6"/>
    <x v="17"/>
    <x v="1"/>
    <x v="0"/>
    <x v="6"/>
    <s v="Y"/>
    <s v="Y"/>
    <s v="N"/>
  </r>
  <r>
    <s v="A10139"/>
    <x v="23"/>
    <s v="Subaru"/>
    <x v="11"/>
    <x v="3"/>
    <x v="2"/>
    <x v="2"/>
    <x v="67"/>
    <s v="N"/>
    <s v="Y"/>
    <s v="N"/>
  </r>
  <r>
    <s v="A10140"/>
    <x v="116"/>
    <s v="Kia"/>
    <x v="2"/>
    <x v="6"/>
    <x v="3"/>
    <x v="0"/>
    <x v="58"/>
    <s v="Y"/>
    <s v="N"/>
    <s v="N"/>
  </r>
  <r>
    <s v="A10141"/>
    <x v="117"/>
    <s v="Toyota"/>
    <x v="6"/>
    <x v="24"/>
    <x v="0"/>
    <x v="0"/>
    <x v="76"/>
    <s v="N"/>
    <s v="Y"/>
    <s v="N"/>
  </r>
  <r>
    <s v="A10142"/>
    <x v="3"/>
    <s v="Honda"/>
    <x v="9"/>
    <x v="38"/>
    <x v="1"/>
    <x v="1"/>
    <x v="62"/>
    <s v="Y"/>
    <s v="Y"/>
    <s v="N"/>
  </r>
  <r>
    <s v="A10143"/>
    <x v="118"/>
    <s v="Ford"/>
    <x v="6"/>
    <x v="9"/>
    <x v="2"/>
    <x v="0"/>
    <x v="43"/>
    <s v="N"/>
    <s v="N"/>
    <s v="Y"/>
  </r>
  <r>
    <s v="A10144"/>
    <x v="91"/>
    <s v="Chevrolet"/>
    <x v="0"/>
    <x v="47"/>
    <x v="3"/>
    <x v="2"/>
    <x v="80"/>
    <s v="N"/>
    <s v="Y"/>
    <s v="N"/>
  </r>
  <r>
    <s v="A10145"/>
    <x v="101"/>
    <s v="BMW"/>
    <x v="2"/>
    <x v="12"/>
    <x v="0"/>
    <x v="0"/>
    <x v="27"/>
    <s v="Y"/>
    <s v="Y"/>
    <s v="N"/>
  </r>
  <r>
    <s v="A10146"/>
    <x v="98"/>
    <s v="Nissan"/>
    <x v="1"/>
    <x v="57"/>
    <x v="1"/>
    <x v="1"/>
    <x v="81"/>
    <s v="N"/>
    <s v="Y"/>
    <s v="N"/>
  </r>
  <r>
    <s v="A10147"/>
    <x v="119"/>
    <s v="Jeep"/>
    <x v="6"/>
    <x v="35"/>
    <x v="3"/>
    <x v="0"/>
    <x v="27"/>
    <s v="N"/>
    <s v="N"/>
    <s v="N"/>
  </r>
  <r>
    <s v="A10148"/>
    <x v="110"/>
    <s v="Mercedes"/>
    <x v="6"/>
    <x v="41"/>
    <x v="2"/>
    <x v="0"/>
    <x v="45"/>
    <s v="N"/>
    <s v="Y"/>
    <s v="N"/>
  </r>
  <r>
    <s v="A10149"/>
    <x v="99"/>
    <s v="Subaru"/>
    <x v="3"/>
    <x v="40"/>
    <x v="0"/>
    <x v="1"/>
    <x v="26"/>
    <s v="Y"/>
    <s v="Y"/>
    <s v="Y"/>
  </r>
  <r>
    <s v="A10150"/>
    <x v="84"/>
    <s v="Kia"/>
    <x v="6"/>
    <x v="39"/>
    <x v="1"/>
    <x v="0"/>
    <x v="22"/>
    <s v="N"/>
    <s v="Y"/>
    <s v="N"/>
  </r>
  <r>
    <s v="A10151"/>
    <x v="120"/>
    <s v="Toyota"/>
    <x v="1"/>
    <x v="58"/>
    <x v="2"/>
    <x v="1"/>
    <x v="82"/>
    <s v="N"/>
    <s v="Y"/>
    <s v="N"/>
  </r>
  <r>
    <s v="A10152"/>
    <x v="121"/>
    <s v="Honda"/>
    <x v="6"/>
    <x v="0"/>
    <x v="3"/>
    <x v="0"/>
    <x v="83"/>
    <s v="N"/>
    <s v="Y"/>
    <s v="N"/>
  </r>
  <r>
    <s v="A10153"/>
    <x v="45"/>
    <s v="Ford"/>
    <x v="2"/>
    <x v="1"/>
    <x v="0"/>
    <x v="2"/>
    <x v="84"/>
    <s v="Y"/>
    <s v="Y"/>
    <s v="N"/>
  </r>
  <r>
    <s v="A10154"/>
    <x v="2"/>
    <s v="Chevrolet"/>
    <x v="6"/>
    <x v="22"/>
    <x v="1"/>
    <x v="0"/>
    <x v="85"/>
    <s v="N"/>
    <s v="N"/>
    <s v="Y"/>
  </r>
  <r>
    <s v="A10155"/>
    <x v="122"/>
    <s v="BMW"/>
    <x v="10"/>
    <x v="5"/>
    <x v="2"/>
    <x v="1"/>
    <x v="12"/>
    <s v="N"/>
    <s v="Y"/>
    <s v="N"/>
  </r>
  <r>
    <s v="A10156"/>
    <x v="123"/>
    <s v="Nissan"/>
    <x v="6"/>
    <x v="11"/>
    <x v="3"/>
    <x v="0"/>
    <x v="50"/>
    <s v="N"/>
    <s v="Y"/>
    <s v="N"/>
  </r>
  <r>
    <s v="A10157"/>
    <x v="40"/>
    <s v="Jeep"/>
    <x v="3"/>
    <x v="59"/>
    <x v="0"/>
    <x v="1"/>
    <x v="86"/>
    <s v="N"/>
    <s v="Y"/>
    <s v="N"/>
  </r>
  <r>
    <s v="A10158"/>
    <x v="124"/>
    <s v="Mercedes"/>
    <x v="6"/>
    <x v="28"/>
    <x v="1"/>
    <x v="0"/>
    <x v="4"/>
    <s v="Y"/>
    <s v="Y"/>
    <s v="N"/>
  </r>
  <r>
    <s v="A10159"/>
    <x v="125"/>
    <s v="Subaru"/>
    <x v="0"/>
    <x v="49"/>
    <x v="2"/>
    <x v="2"/>
    <x v="20"/>
    <s v="N"/>
    <s v="Y"/>
    <s v="N"/>
  </r>
  <r>
    <s v="A10160"/>
    <x v="126"/>
    <s v="Kia"/>
    <x v="2"/>
    <x v="15"/>
    <x v="3"/>
    <x v="0"/>
    <x v="2"/>
    <s v="Y"/>
    <s v="N"/>
    <s v="N"/>
  </r>
  <r>
    <s v="A10161"/>
    <x v="127"/>
    <s v="Toyota"/>
    <x v="6"/>
    <x v="42"/>
    <x v="0"/>
    <x v="0"/>
    <x v="87"/>
    <s v="N"/>
    <s v="Y"/>
    <s v="N"/>
  </r>
  <r>
    <s v="A10162"/>
    <x v="128"/>
    <s v="Honda"/>
    <x v="10"/>
    <x v="3"/>
    <x v="1"/>
    <x v="1"/>
    <x v="26"/>
    <s v="N"/>
    <s v="Y"/>
    <s v="Y"/>
  </r>
  <r>
    <s v="A10163"/>
    <x v="129"/>
    <s v="Ford"/>
    <x v="6"/>
    <x v="29"/>
    <x v="2"/>
    <x v="0"/>
    <x v="54"/>
    <s v="Y"/>
    <s v="N"/>
    <s v="N"/>
  </r>
  <r>
    <s v="A10164"/>
    <x v="45"/>
    <s v="Chevrolet"/>
    <x v="4"/>
    <x v="43"/>
    <x v="3"/>
    <x v="2"/>
    <x v="30"/>
    <s v="N"/>
    <s v="Y"/>
    <s v="N"/>
  </r>
  <r>
    <s v="A10165"/>
    <x v="76"/>
    <s v="BMW"/>
    <x v="2"/>
    <x v="32"/>
    <x v="0"/>
    <x v="0"/>
    <x v="9"/>
    <s v="N"/>
    <s v="Y"/>
    <s v="N"/>
  </r>
  <r>
    <s v="A10166"/>
    <x v="130"/>
    <s v="Nissan"/>
    <x v="9"/>
    <x v="10"/>
    <x v="1"/>
    <x v="1"/>
    <x v="88"/>
    <s v="N"/>
    <s v="Y"/>
    <s v="N"/>
  </r>
  <r>
    <s v="A10167"/>
    <x v="131"/>
    <s v="Jeep"/>
    <x v="6"/>
    <x v="31"/>
    <x v="3"/>
    <x v="0"/>
    <x v="9"/>
    <s v="Y"/>
    <s v="N"/>
    <s v="N"/>
  </r>
  <r>
    <s v="A10168"/>
    <x v="77"/>
    <s v="Mercedes"/>
    <x v="6"/>
    <x v="14"/>
    <x v="2"/>
    <x v="0"/>
    <x v="15"/>
    <s v="N"/>
    <s v="Y"/>
    <s v="N"/>
  </r>
  <r>
    <s v="A10169"/>
    <x v="28"/>
    <s v="Subaru"/>
    <x v="11"/>
    <x v="12"/>
    <x v="0"/>
    <x v="1"/>
    <x v="14"/>
    <s v="N"/>
    <s v="Y"/>
    <s v="N"/>
  </r>
  <r>
    <s v="A10170"/>
    <x v="132"/>
    <s v="Kia"/>
    <x v="6"/>
    <x v="26"/>
    <x v="1"/>
    <x v="0"/>
    <x v="13"/>
    <s v="Y"/>
    <s v="Y"/>
    <s v="Y"/>
  </r>
  <r>
    <s v="A10171"/>
    <x v="43"/>
    <s v="Toyota"/>
    <x v="10"/>
    <x v="48"/>
    <x v="2"/>
    <x v="1"/>
    <x v="5"/>
    <s v="N"/>
    <s v="Y"/>
    <s v="N"/>
  </r>
  <r>
    <s v="A10172"/>
    <x v="85"/>
    <s v="Honda"/>
    <x v="6"/>
    <x v="37"/>
    <x v="3"/>
    <x v="0"/>
    <x v="87"/>
    <s v="N"/>
    <s v="Y"/>
    <s v="N"/>
  </r>
  <r>
    <s v="A10173"/>
    <x v="44"/>
    <s v="Ford"/>
    <x v="2"/>
    <x v="53"/>
    <x v="0"/>
    <x v="2"/>
    <x v="89"/>
    <s v="Y"/>
    <s v="Y"/>
    <s v="N"/>
  </r>
  <r>
    <s v="A10174"/>
    <x v="133"/>
    <s v="Chevrolet"/>
    <x v="6"/>
    <x v="19"/>
    <x v="1"/>
    <x v="0"/>
    <x v="90"/>
    <s v="N"/>
    <s v="N"/>
    <s v="Y"/>
  </r>
  <r>
    <s v="A10175"/>
    <x v="80"/>
    <s v="BMW"/>
    <x v="3"/>
    <x v="50"/>
    <x v="2"/>
    <x v="1"/>
    <x v="91"/>
    <s v="N"/>
    <s v="Y"/>
    <s v="N"/>
  </r>
  <r>
    <s v="A10176"/>
    <x v="134"/>
    <s v="Nissan"/>
    <x v="6"/>
    <x v="0"/>
    <x v="3"/>
    <x v="0"/>
    <x v="59"/>
    <s v="N"/>
    <s v="Y"/>
    <s v="N"/>
  </r>
  <r>
    <s v="A10177"/>
    <x v="135"/>
    <s v="Jeep"/>
    <x v="11"/>
    <x v="60"/>
    <x v="0"/>
    <x v="1"/>
    <x v="88"/>
    <s v="N"/>
    <s v="Y"/>
    <s v="N"/>
  </r>
  <r>
    <s v="A10178"/>
    <x v="136"/>
    <s v="Mercedes"/>
    <x v="6"/>
    <x v="20"/>
    <x v="1"/>
    <x v="0"/>
    <x v="38"/>
    <s v="Y"/>
    <s v="Y"/>
    <s v="N"/>
  </r>
  <r>
    <s v="A10179"/>
    <x v="42"/>
    <s v="Subaru"/>
    <x v="4"/>
    <x v="14"/>
    <x v="2"/>
    <x v="2"/>
    <x v="11"/>
    <s v="N"/>
    <s v="Y"/>
    <s v="N"/>
  </r>
  <r>
    <s v="A10180"/>
    <x v="72"/>
    <s v="Kia"/>
    <x v="6"/>
    <x v="35"/>
    <x v="3"/>
    <x v="0"/>
    <x v="22"/>
    <s v="Y"/>
    <s v="N"/>
    <s v="N"/>
  </r>
  <r>
    <s v="A10181"/>
    <x v="112"/>
    <s v="Toyota"/>
    <x v="6"/>
    <x v="32"/>
    <x v="0"/>
    <x v="0"/>
    <x v="92"/>
    <s v="N"/>
    <s v="Y"/>
    <s v="N"/>
  </r>
  <r>
    <s v="A10182"/>
    <x v="137"/>
    <s v="Honda"/>
    <x v="3"/>
    <x v="41"/>
    <x v="1"/>
    <x v="1"/>
    <x v="93"/>
    <s v="N"/>
    <s v="Y"/>
    <s v="Y"/>
  </r>
  <r>
    <s v="A10183"/>
    <x v="138"/>
    <s v="Ford"/>
    <x v="6"/>
    <x v="39"/>
    <x v="2"/>
    <x v="0"/>
    <x v="64"/>
    <s v="Y"/>
    <s v="N"/>
    <s v="N"/>
  </r>
  <r>
    <s v="A10184"/>
    <x v="139"/>
    <s v="Chevrolet"/>
    <x v="2"/>
    <x v="25"/>
    <x v="3"/>
    <x v="2"/>
    <x v="94"/>
    <s v="N"/>
    <s v="Y"/>
    <s v="N"/>
  </r>
  <r>
    <s v="A10185"/>
    <x v="140"/>
    <s v="BMW"/>
    <x v="2"/>
    <x v="1"/>
    <x v="0"/>
    <x v="0"/>
    <x v="35"/>
    <s v="N"/>
    <s v="Y"/>
    <s v="N"/>
  </r>
  <r>
    <s v="A10186"/>
    <x v="78"/>
    <s v="Nissan"/>
    <x v="10"/>
    <x v="44"/>
    <x v="1"/>
    <x v="1"/>
    <x v="49"/>
    <s v="N"/>
    <s v="Y"/>
    <s v="N"/>
  </r>
  <r>
    <s v="A10187"/>
    <x v="54"/>
    <s v="Jeep"/>
    <x v="6"/>
    <x v="37"/>
    <x v="3"/>
    <x v="0"/>
    <x v="35"/>
    <s v="Y"/>
    <s v="N"/>
    <s v="N"/>
  </r>
  <r>
    <s v="A10188"/>
    <x v="141"/>
    <s v="Mercedes"/>
    <x v="6"/>
    <x v="34"/>
    <x v="2"/>
    <x v="0"/>
    <x v="6"/>
    <s v="N"/>
    <s v="Y"/>
    <s v="N"/>
  </r>
  <r>
    <s v="A10189"/>
    <x v="4"/>
    <s v="Subaru"/>
    <x v="0"/>
    <x v="46"/>
    <x v="0"/>
    <x v="1"/>
    <x v="95"/>
    <s v="N"/>
    <s v="Y"/>
    <s v="N"/>
  </r>
  <r>
    <s v="A10190"/>
    <x v="126"/>
    <s v="Kia"/>
    <x v="6"/>
    <x v="45"/>
    <x v="1"/>
    <x v="0"/>
    <x v="31"/>
    <s v="Y"/>
    <s v="Y"/>
    <s v="Y"/>
  </r>
  <r>
    <s v="A10191"/>
    <x v="120"/>
    <s v="Toyota"/>
    <x v="3"/>
    <x v="36"/>
    <x v="2"/>
    <x v="1"/>
    <x v="24"/>
    <s v="N"/>
    <s v="Y"/>
    <s v="N"/>
  </r>
  <r>
    <s v="A10192"/>
    <x v="142"/>
    <s v="Honda"/>
    <x v="6"/>
    <x v="28"/>
    <x v="3"/>
    <x v="0"/>
    <x v="92"/>
    <s v="N"/>
    <s v="Y"/>
    <s v="N"/>
  </r>
  <r>
    <s v="A10193"/>
    <x v="143"/>
    <s v="Ford"/>
    <x v="6"/>
    <x v="21"/>
    <x v="0"/>
    <x v="2"/>
    <x v="96"/>
    <s v="Y"/>
    <s v="Y"/>
    <s v="N"/>
  </r>
  <r>
    <s v="A10194"/>
    <x v="144"/>
    <s v="Chevrolet"/>
    <x v="6"/>
    <x v="9"/>
    <x v="1"/>
    <x v="0"/>
    <x v="97"/>
    <s v="N"/>
    <s v="N"/>
    <s v="Y"/>
  </r>
  <r>
    <s v="A10195"/>
    <x v="145"/>
    <s v="BMW"/>
    <x v="11"/>
    <x v="55"/>
    <x v="2"/>
    <x v="1"/>
    <x v="98"/>
    <s v="N"/>
    <s v="Y"/>
    <s v="N"/>
  </r>
  <r>
    <s v="A10196"/>
    <x v="146"/>
    <s v="Nissan"/>
    <x v="6"/>
    <x v="17"/>
    <x v="3"/>
    <x v="0"/>
    <x v="27"/>
    <s v="N"/>
    <s v="Y"/>
    <s v="N"/>
  </r>
  <r>
    <s v="A10197"/>
    <x v="147"/>
    <s v="Jeep"/>
    <x v="0"/>
    <x v="61"/>
    <x v="0"/>
    <x v="1"/>
    <x v="49"/>
    <s v="N"/>
    <s v="Y"/>
    <s v="N"/>
  </r>
  <r>
    <s v="A10198"/>
    <x v="148"/>
    <s v="Mercedes"/>
    <x v="6"/>
    <x v="4"/>
    <x v="1"/>
    <x v="0"/>
    <x v="50"/>
    <s v="Y"/>
    <s v="Y"/>
    <s v="N"/>
  </r>
  <r>
    <s v="A10199"/>
    <x v="149"/>
    <s v="Subaru"/>
    <x v="2"/>
    <x v="23"/>
    <x v="2"/>
    <x v="2"/>
    <x v="29"/>
    <s v="N"/>
    <s v="Y"/>
    <s v="N"/>
  </r>
  <r>
    <s v="A10200"/>
    <x v="99"/>
    <s v="Kia"/>
    <x v="6"/>
    <x v="11"/>
    <x v="3"/>
    <x v="0"/>
    <x v="13"/>
    <s v="Y"/>
    <s v="N"/>
    <s v="N"/>
  </r>
  <r>
    <s v="A10201"/>
    <x v="150"/>
    <s v="Toyota"/>
    <x v="4"/>
    <x v="28"/>
    <x v="0"/>
    <x v="0"/>
    <x v="76"/>
    <s v="N"/>
    <s v="Y"/>
    <s v="N"/>
  </r>
  <r>
    <s v="A10202"/>
    <x v="151"/>
    <s v="Honda"/>
    <x v="3"/>
    <x v="38"/>
    <x v="1"/>
    <x v="1"/>
    <x v="55"/>
    <s v="Y"/>
    <s v="Y"/>
    <s v="N"/>
  </r>
  <r>
    <s v="A10203"/>
    <x v="92"/>
    <s v="Ford"/>
    <x v="6"/>
    <x v="29"/>
    <x v="2"/>
    <x v="0"/>
    <x v="64"/>
    <s v="N"/>
    <s v="N"/>
    <s v="N"/>
  </r>
  <r>
    <s v="A10204"/>
    <x v="97"/>
    <s v="Chevrolet"/>
    <x v="4"/>
    <x v="57"/>
    <x v="3"/>
    <x v="2"/>
    <x v="75"/>
    <s v="N"/>
    <s v="Y"/>
    <s v="N"/>
  </r>
  <r>
    <s v="A10205"/>
    <x v="152"/>
    <s v="BMW"/>
    <x v="2"/>
    <x v="53"/>
    <x v="0"/>
    <x v="0"/>
    <x v="48"/>
    <s v="N"/>
    <s v="Y"/>
    <s v="Y"/>
  </r>
  <r>
    <s v="A10206"/>
    <x v="153"/>
    <s v="Nissan"/>
    <x v="9"/>
    <x v="30"/>
    <x v="1"/>
    <x v="1"/>
    <x v="1"/>
    <s v="N"/>
    <s v="Y"/>
    <s v="N"/>
  </r>
  <r>
    <s v="A10207"/>
    <x v="154"/>
    <s v="Jeep"/>
    <x v="6"/>
    <x v="31"/>
    <x v="3"/>
    <x v="0"/>
    <x v="9"/>
    <s v="Y"/>
    <s v="N"/>
    <s v="N"/>
  </r>
  <r>
    <s v="A10208"/>
    <x v="155"/>
    <s v="Mercedes"/>
    <x v="6"/>
    <x v="47"/>
    <x v="2"/>
    <x v="0"/>
    <x v="4"/>
    <s v="N"/>
    <s v="Y"/>
    <s v="N"/>
  </r>
  <r>
    <s v="A10209"/>
    <x v="9"/>
    <s v="Subaru"/>
    <x v="4"/>
    <x v="12"/>
    <x v="0"/>
    <x v="1"/>
    <x v="37"/>
    <s v="Y"/>
    <s v="Y"/>
    <s v="N"/>
  </r>
  <r>
    <s v="A10210"/>
    <x v="106"/>
    <s v="Kia"/>
    <x v="6"/>
    <x v="26"/>
    <x v="1"/>
    <x v="0"/>
    <x v="31"/>
    <s v="N"/>
    <s v="Y"/>
    <s v="N"/>
  </r>
  <r>
    <s v="A10211"/>
    <x v="156"/>
    <s v="Toyota"/>
    <x v="10"/>
    <x v="52"/>
    <x v="2"/>
    <x v="1"/>
    <x v="5"/>
    <s v="N"/>
    <s v="Y"/>
    <s v="N"/>
  </r>
  <r>
    <s v="A10212"/>
    <x v="157"/>
    <s v="Honda"/>
    <x v="6"/>
    <x v="17"/>
    <x v="3"/>
    <x v="0"/>
    <x v="99"/>
    <s v="N"/>
    <s v="Y"/>
    <s v="N"/>
  </r>
  <r>
    <s v="A10213"/>
    <x v="158"/>
    <s v="Ford"/>
    <x v="6"/>
    <x v="7"/>
    <x v="0"/>
    <x v="2"/>
    <x v="20"/>
    <s v="Y"/>
    <s v="Y"/>
    <s v="N"/>
  </r>
  <r>
    <s v="A10214"/>
    <x v="159"/>
    <s v="Chevrolet"/>
    <x v="6"/>
    <x v="22"/>
    <x v="1"/>
    <x v="0"/>
    <x v="100"/>
    <s v="N"/>
    <s v="N"/>
    <s v="Y"/>
  </r>
  <r>
    <s v="A10215"/>
    <x v="160"/>
    <s v="BMW"/>
    <x v="10"/>
    <x v="10"/>
    <x v="2"/>
    <x v="1"/>
    <x v="77"/>
    <s v="N"/>
    <s v="Y"/>
    <s v="N"/>
  </r>
  <r>
    <s v="A10216"/>
    <x v="161"/>
    <s v="Nissan"/>
    <x v="6"/>
    <x v="8"/>
    <x v="3"/>
    <x v="0"/>
    <x v="35"/>
    <s v="N"/>
    <s v="Y"/>
    <s v="N"/>
  </r>
  <r>
    <s v="A10217"/>
    <x v="36"/>
    <s v="Jeep"/>
    <x v="3"/>
    <x v="62"/>
    <x v="0"/>
    <x v="1"/>
    <x v="36"/>
    <s v="N"/>
    <s v="Y"/>
    <s v="N"/>
  </r>
  <r>
    <s v="A10218"/>
    <x v="162"/>
    <s v="Mercedes"/>
    <x v="6"/>
    <x v="24"/>
    <x v="1"/>
    <x v="0"/>
    <x v="59"/>
    <s v="Y"/>
    <s v="Y"/>
    <s v="N"/>
  </r>
  <r>
    <s v="A10219"/>
    <x v="163"/>
    <s v="Subaru"/>
    <x v="6"/>
    <x v="5"/>
    <x v="2"/>
    <x v="2"/>
    <x v="25"/>
    <s v="N"/>
    <s v="Y"/>
    <s v="N"/>
  </r>
  <r>
    <s v="A10220"/>
    <x v="76"/>
    <s v="Kia"/>
    <x v="6"/>
    <x v="31"/>
    <x v="3"/>
    <x v="0"/>
    <x v="43"/>
    <s v="Y"/>
    <s v="N"/>
    <s v="N"/>
  </r>
  <r>
    <s v="A10221"/>
    <x v="164"/>
    <s v="Toyota"/>
    <x v="2"/>
    <x v="1"/>
    <x v="0"/>
    <x v="0"/>
    <x v="15"/>
    <s v="N"/>
    <s v="Y"/>
    <s v="N"/>
  </r>
  <r>
    <s v="A10222"/>
    <x v="147"/>
    <s v="Honda"/>
    <x v="11"/>
    <x v="49"/>
    <x v="1"/>
    <x v="1"/>
    <x v="14"/>
    <s v="N"/>
    <s v="Y"/>
    <s v="Y"/>
  </r>
  <r>
    <s v="A10223"/>
    <x v="165"/>
    <s v="Ford"/>
    <x v="6"/>
    <x v="39"/>
    <x v="2"/>
    <x v="0"/>
    <x v="74"/>
    <s v="Y"/>
    <s v="N"/>
    <s v="N"/>
  </r>
  <r>
    <s v="A10224"/>
    <x v="34"/>
    <s v="Chevrolet"/>
    <x v="2"/>
    <x v="44"/>
    <x v="3"/>
    <x v="2"/>
    <x v="101"/>
    <s v="N"/>
    <s v="Y"/>
    <s v="N"/>
  </r>
  <r>
    <s v="A10225"/>
    <x v="166"/>
    <s v="BMW"/>
    <x v="2"/>
    <x v="21"/>
    <x v="0"/>
    <x v="0"/>
    <x v="58"/>
    <s v="N"/>
    <s v="Y"/>
    <s v="N"/>
  </r>
  <r>
    <s v="A10226"/>
    <x v="99"/>
    <s v="Nissan"/>
    <x v="10"/>
    <x v="51"/>
    <x v="1"/>
    <x v="1"/>
    <x v="40"/>
    <s v="N"/>
    <s v="Y"/>
    <s v="N"/>
  </r>
  <r>
    <s v="A10227"/>
    <x v="167"/>
    <s v="Jeep"/>
    <x v="6"/>
    <x v="0"/>
    <x v="3"/>
    <x v="0"/>
    <x v="19"/>
    <s v="Y"/>
    <s v="N"/>
    <s v="N"/>
  </r>
  <r>
    <s v="A10228"/>
    <x v="8"/>
    <s v="Mercedes"/>
    <x v="6"/>
    <x v="43"/>
    <x v="2"/>
    <x v="0"/>
    <x v="38"/>
    <s v="N"/>
    <s v="Y"/>
    <s v="N"/>
  </r>
  <r>
    <s v="A10229"/>
    <x v="107"/>
    <s v="Subaru"/>
    <x v="2"/>
    <x v="32"/>
    <x v="0"/>
    <x v="1"/>
    <x v="30"/>
    <s v="N"/>
    <s v="Y"/>
    <s v="N"/>
  </r>
  <r>
    <s v="A10230"/>
    <x v="168"/>
    <s v="Kia"/>
    <x v="6"/>
    <x v="35"/>
    <x v="1"/>
    <x v="0"/>
    <x v="54"/>
    <s v="Y"/>
    <s v="Y"/>
    <s v="Y"/>
  </r>
  <r>
    <s v="A10231"/>
    <x v="26"/>
    <s v="Toyota"/>
    <x v="3"/>
    <x v="54"/>
    <x v="2"/>
    <x v="1"/>
    <x v="24"/>
    <s v="N"/>
    <s v="Y"/>
    <s v="N"/>
  </r>
  <r>
    <s v="A10232"/>
    <x v="169"/>
    <s v="Honda"/>
    <x v="6"/>
    <x v="28"/>
    <x v="3"/>
    <x v="0"/>
    <x v="102"/>
    <s v="N"/>
    <s v="Y"/>
    <s v="N"/>
  </r>
  <r>
    <s v="A10233"/>
    <x v="170"/>
    <s v="Ford"/>
    <x v="6"/>
    <x v="27"/>
    <x v="0"/>
    <x v="2"/>
    <x v="11"/>
    <s v="Y"/>
    <s v="Y"/>
    <s v="N"/>
  </r>
  <r>
    <s v="A10234"/>
    <x v="171"/>
    <s v="Chevrolet"/>
    <x v="6"/>
    <x v="9"/>
    <x v="1"/>
    <x v="0"/>
    <x v="103"/>
    <s v="N"/>
    <s v="N"/>
    <s v="Y"/>
  </r>
  <r>
    <s v="A10235"/>
    <x v="172"/>
    <s v="BMW"/>
    <x v="3"/>
    <x v="30"/>
    <x v="2"/>
    <x v="1"/>
    <x v="104"/>
    <s v="N"/>
    <s v="Y"/>
    <s v="N"/>
  </r>
  <r>
    <s v="A10236"/>
    <x v="88"/>
    <s v="Nissan"/>
    <x v="6"/>
    <x v="20"/>
    <x v="3"/>
    <x v="0"/>
    <x v="19"/>
    <s v="N"/>
    <s v="Y"/>
    <s v="N"/>
  </r>
  <r>
    <s v="A10237"/>
    <x v="89"/>
    <s v="Jeep"/>
    <x v="11"/>
    <x v="63"/>
    <x v="0"/>
    <x v="1"/>
    <x v="40"/>
    <s v="N"/>
    <s v="Y"/>
    <s v="N"/>
  </r>
  <r>
    <s v="A10238"/>
    <x v="55"/>
    <s v="Mercedes"/>
    <x v="6"/>
    <x v="40"/>
    <x v="1"/>
    <x v="0"/>
    <x v="27"/>
    <s v="Y"/>
    <s v="Y"/>
    <s v="N"/>
  </r>
  <r>
    <s v="A10239"/>
    <x v="173"/>
    <s v="Subaru"/>
    <x v="6"/>
    <x v="50"/>
    <x v="2"/>
    <x v="2"/>
    <x v="17"/>
    <s v="N"/>
    <s v="Y"/>
    <s v="N"/>
  </r>
  <r>
    <s v="A10240"/>
    <x v="113"/>
    <s v="Kia"/>
    <x v="6"/>
    <x v="0"/>
    <x v="3"/>
    <x v="0"/>
    <x v="54"/>
    <s v="Y"/>
    <s v="N"/>
    <s v="N"/>
  </r>
  <r>
    <s v="A10241"/>
    <x v="174"/>
    <s v="Toyota"/>
    <x v="6"/>
    <x v="53"/>
    <x v="0"/>
    <x v="0"/>
    <x v="6"/>
    <s v="N"/>
    <s v="Y"/>
    <s v="N"/>
  </r>
  <r>
    <s v="A10242"/>
    <x v="7"/>
    <s v="Honda"/>
    <x v="0"/>
    <x v="14"/>
    <x v="1"/>
    <x v="1"/>
    <x v="23"/>
    <s v="Y"/>
    <s v="Y"/>
    <s v="N"/>
  </r>
  <r>
    <s v="A10243"/>
    <x v="0"/>
    <s v="Ford"/>
    <x v="6"/>
    <x v="6"/>
    <x v="2"/>
    <x v="0"/>
    <x v="78"/>
    <s v="N"/>
    <s v="N"/>
    <s v="Y"/>
  </r>
  <r>
    <s v="A10244"/>
    <x v="59"/>
    <s v="Chevrolet"/>
    <x v="6"/>
    <x v="51"/>
    <x v="3"/>
    <x v="2"/>
    <x v="91"/>
    <s v="N"/>
    <s v="Y"/>
    <s v="N"/>
  </r>
  <r>
    <s v="A10245"/>
    <x v="175"/>
    <s v="BMW"/>
    <x v="2"/>
    <x v="7"/>
    <x v="0"/>
    <x v="0"/>
    <x v="2"/>
    <s v="Y"/>
    <s v="Y"/>
    <s v="N"/>
  </r>
  <r>
    <s v="A10246"/>
    <x v="176"/>
    <s v="Nissan"/>
    <x v="3"/>
    <x v="16"/>
    <x v="1"/>
    <x v="1"/>
    <x v="52"/>
    <s v="N"/>
    <s v="Y"/>
    <s v="N"/>
  </r>
  <r>
    <s v="A10247"/>
    <x v="177"/>
    <s v="Jeep"/>
    <x v="6"/>
    <x v="37"/>
    <x v="3"/>
    <x v="0"/>
    <x v="48"/>
    <s v="N"/>
    <s v="N"/>
    <s v="N"/>
  </r>
  <r>
    <s v="A10248"/>
    <x v="136"/>
    <s v="Mercedes"/>
    <x v="6"/>
    <x v="25"/>
    <x v="2"/>
    <x v="0"/>
    <x v="50"/>
    <s v="N"/>
    <s v="Y"/>
    <s v="N"/>
  </r>
  <r>
    <s v="A10249"/>
    <x v="178"/>
    <s v="Subaru"/>
    <x v="6"/>
    <x v="46"/>
    <x v="0"/>
    <x v="1"/>
    <x v="12"/>
    <s v="Y"/>
    <s v="Y"/>
    <s v="Y"/>
  </r>
  <r>
    <s v="A10250"/>
    <x v="179"/>
    <s v="Kia"/>
    <x v="6"/>
    <x v="45"/>
    <x v="1"/>
    <x v="0"/>
    <x v="64"/>
    <s v="N"/>
    <s v="Y"/>
    <s v="N"/>
  </r>
  <r>
    <s v="A10251"/>
    <x v="180"/>
    <s v="Toyota"/>
    <x v="11"/>
    <x v="56"/>
    <x v="2"/>
    <x v="1"/>
    <x v="70"/>
    <s v="N"/>
    <s v="Y"/>
    <s v="N"/>
  </r>
  <r>
    <s v="A10252"/>
    <x v="181"/>
    <s v="Honda"/>
    <x v="6"/>
    <x v="8"/>
    <x v="3"/>
    <x v="0"/>
    <x v="105"/>
    <s v="N"/>
    <s v="Y"/>
    <s v="N"/>
  </r>
  <r>
    <s v="A10253"/>
    <x v="182"/>
    <s v="Ford"/>
    <x v="6"/>
    <x v="18"/>
    <x v="0"/>
    <x v="2"/>
    <x v="29"/>
    <s v="Y"/>
    <s v="Y"/>
    <s v="N"/>
  </r>
  <r>
    <s v="A10254"/>
    <x v="183"/>
    <s v="Chevrolet"/>
    <x v="6"/>
    <x v="29"/>
    <x v="1"/>
    <x v="0"/>
    <x v="106"/>
    <s v="N"/>
    <s v="N"/>
    <s v="Y"/>
  </r>
  <r>
    <s v="A10255"/>
    <x v="163"/>
    <s v="BMW"/>
    <x v="11"/>
    <x v="16"/>
    <x v="2"/>
    <x v="1"/>
    <x v="47"/>
    <s v="N"/>
    <s v="Y"/>
    <s v="N"/>
  </r>
  <r>
    <s v="A10256"/>
    <x v="76"/>
    <s v="Nissan"/>
    <x v="6"/>
    <x v="4"/>
    <x v="3"/>
    <x v="0"/>
    <x v="58"/>
    <s v="N"/>
    <s v="Y"/>
    <s v="N"/>
  </r>
  <r>
    <s v="A10257"/>
    <x v="122"/>
    <s v="Jeep"/>
    <x v="0"/>
    <x v="64"/>
    <x v="0"/>
    <x v="1"/>
    <x v="8"/>
    <s v="N"/>
    <s v="Y"/>
    <s v="N"/>
  </r>
  <r>
    <s v="A10258"/>
    <x v="184"/>
    <s v="Mercedes"/>
    <x v="6"/>
    <x v="42"/>
    <x v="1"/>
    <x v="0"/>
    <x v="9"/>
    <s v="Y"/>
    <s v="Y"/>
    <s v="N"/>
  </r>
  <r>
    <s v="A10259"/>
    <x v="81"/>
    <s v="Subaru"/>
    <x v="6"/>
    <x v="55"/>
    <x v="2"/>
    <x v="2"/>
    <x v="33"/>
    <s v="N"/>
    <s v="Y"/>
    <s v="N"/>
  </r>
  <r>
    <s v="A10260"/>
    <x v="9"/>
    <s v="Kia"/>
    <x v="6"/>
    <x v="37"/>
    <x v="3"/>
    <x v="0"/>
    <x v="64"/>
    <s v="Y"/>
    <s v="N"/>
    <s v="N"/>
  </r>
  <r>
    <s v="A10261"/>
    <x v="11"/>
    <s v="Toyota"/>
    <x v="6"/>
    <x v="21"/>
    <x v="0"/>
    <x v="0"/>
    <x v="38"/>
    <s v="N"/>
    <s v="Y"/>
    <s v="N"/>
  </r>
  <r>
    <s v="A10262"/>
    <x v="151"/>
    <s v="Honda"/>
    <x v="4"/>
    <x v="34"/>
    <x v="1"/>
    <x v="1"/>
    <x v="3"/>
    <s v="N"/>
    <s v="Y"/>
    <s v="Y"/>
  </r>
  <r>
    <s v="A10263"/>
    <x v="73"/>
    <s v="Ford"/>
    <x v="6"/>
    <x v="15"/>
    <x v="2"/>
    <x v="0"/>
    <x v="85"/>
    <s v="Y"/>
    <s v="N"/>
    <s v="N"/>
  </r>
  <r>
    <s v="A10264"/>
    <x v="97"/>
    <s v="Chevrolet"/>
    <x v="6"/>
    <x v="58"/>
    <x v="3"/>
    <x v="2"/>
    <x v="98"/>
    <s v="N"/>
    <s v="Y"/>
    <s v="N"/>
  </r>
  <r>
    <s v="A10265"/>
    <x v="152"/>
    <s v="BMW"/>
    <x v="6"/>
    <x v="27"/>
    <x v="0"/>
    <x v="0"/>
    <x v="22"/>
    <s v="N"/>
    <s v="Y"/>
    <s v="N"/>
  </r>
  <r>
    <s v="A10266"/>
    <x v="185"/>
    <s v="Nissan"/>
    <x v="11"/>
    <x v="48"/>
    <x v="1"/>
    <x v="1"/>
    <x v="62"/>
    <s v="N"/>
    <s v="Y"/>
    <s v="N"/>
  </r>
  <r>
    <s v="A10267"/>
    <x v="154"/>
    <s v="Jeep"/>
    <x v="6"/>
    <x v="17"/>
    <x v="3"/>
    <x v="0"/>
    <x v="58"/>
    <s v="Y"/>
    <s v="N"/>
    <s v="N"/>
  </r>
  <r>
    <s v="A10268"/>
    <x v="155"/>
    <s v="Mercedes"/>
    <x v="6"/>
    <x v="57"/>
    <x v="2"/>
    <x v="0"/>
    <x v="59"/>
    <s v="N"/>
    <s v="Y"/>
    <s v="N"/>
  </r>
  <r>
    <s v="A10269"/>
    <x v="186"/>
    <s v="Subaru"/>
    <x v="6"/>
    <x v="1"/>
    <x v="0"/>
    <x v="1"/>
    <x v="91"/>
    <s v="N"/>
    <s v="Y"/>
    <s v="N"/>
  </r>
  <r>
    <s v="A10270"/>
    <x v="187"/>
    <s v="Kia"/>
    <x v="6"/>
    <x v="11"/>
    <x v="1"/>
    <x v="0"/>
    <x v="74"/>
    <s v="Y"/>
    <s v="Y"/>
    <s v="Y"/>
  </r>
  <r>
    <s v="A10271"/>
    <x v="156"/>
    <s v="Toyota"/>
    <x v="0"/>
    <x v="59"/>
    <x v="2"/>
    <x v="1"/>
    <x v="107"/>
    <s v="N"/>
    <s v="Y"/>
    <s v="N"/>
  </r>
  <r>
    <s v="A10272"/>
    <x v="157"/>
    <s v="Honda"/>
    <x v="6"/>
    <x v="20"/>
    <x v="3"/>
    <x v="0"/>
    <x v="108"/>
    <s v="N"/>
    <s v="Y"/>
    <s v="N"/>
  </r>
  <r>
    <s v="A10273"/>
    <x v="158"/>
    <s v="Ford"/>
    <x v="6"/>
    <x v="38"/>
    <x v="0"/>
    <x v="2"/>
    <x v="7"/>
    <s v="Y"/>
    <s v="Y"/>
    <s v="N"/>
  </r>
  <r>
    <s v="A10274"/>
    <x v="159"/>
    <s v="Chevrolet"/>
    <x v="6"/>
    <x v="39"/>
    <x v="1"/>
    <x v="0"/>
    <x v="109"/>
    <s v="N"/>
    <s v="N"/>
    <s v="Y"/>
  </r>
  <r>
    <s v="A10275"/>
    <x v="160"/>
    <s v="BMW"/>
    <x v="0"/>
    <x v="48"/>
    <x v="2"/>
    <x v="1"/>
    <x v="89"/>
    <s v="N"/>
    <s v="Y"/>
    <s v="N"/>
  </r>
  <r>
    <s v="A10276"/>
    <x v="161"/>
    <s v="Nissan"/>
    <x v="6"/>
    <x v="24"/>
    <x v="3"/>
    <x v="0"/>
    <x v="2"/>
    <s v="N"/>
    <s v="Y"/>
    <s v="N"/>
  </r>
  <r>
    <s v="A10277"/>
    <x v="36"/>
    <s v="Jeep"/>
    <x v="4"/>
    <x v="65"/>
    <x v="0"/>
    <x v="1"/>
    <x v="26"/>
    <s v="N"/>
    <s v="Y"/>
    <s v="N"/>
  </r>
  <r>
    <s v="A10278"/>
    <x v="162"/>
    <s v="Mercedes"/>
    <x v="6"/>
    <x v="12"/>
    <x v="1"/>
    <x v="0"/>
    <x v="35"/>
    <s v="Y"/>
    <s v="Y"/>
    <s v="N"/>
  </r>
  <r>
    <s v="A10279"/>
    <x v="163"/>
    <s v="Subaru"/>
    <x v="6"/>
    <x v="10"/>
    <x v="2"/>
    <x v="2"/>
    <x v="61"/>
    <s v="N"/>
    <s v="Y"/>
    <s v="N"/>
  </r>
  <r>
    <s v="A10280"/>
    <x v="76"/>
    <s v="Kia"/>
    <x v="6"/>
    <x v="28"/>
    <x v="3"/>
    <x v="0"/>
    <x v="74"/>
    <s v="Y"/>
    <s v="N"/>
    <s v="N"/>
  </r>
  <r>
    <s v="A10281"/>
    <x v="164"/>
    <s v="Toyota"/>
    <x v="6"/>
    <x v="7"/>
    <x v="0"/>
    <x v="0"/>
    <x v="50"/>
    <s v="N"/>
    <s v="Y"/>
    <s v="N"/>
  </r>
  <r>
    <s v="A10282"/>
    <x v="147"/>
    <s v="Honda"/>
    <x v="2"/>
    <x v="23"/>
    <x v="1"/>
    <x v="1"/>
    <x v="69"/>
    <s v="N"/>
    <s v="Y"/>
    <s v="Y"/>
  </r>
  <r>
    <s v="A10283"/>
    <x v="165"/>
    <s v="Ford"/>
    <x v="6"/>
    <x v="26"/>
    <x v="2"/>
    <x v="0"/>
    <x v="90"/>
    <s v="Y"/>
    <s v="N"/>
    <s v="N"/>
  </r>
  <r>
    <s v="A10284"/>
    <x v="34"/>
    <s v="Chevrolet"/>
    <x v="6"/>
    <x v="36"/>
    <x v="3"/>
    <x v="2"/>
    <x v="110"/>
    <s v="N"/>
    <s v="Y"/>
    <s v="N"/>
  </r>
  <r>
    <s v="A10285"/>
    <x v="166"/>
    <s v="BMW"/>
    <x v="6"/>
    <x v="18"/>
    <x v="0"/>
    <x v="0"/>
    <x v="13"/>
    <s v="N"/>
    <s v="Y"/>
    <s v="N"/>
  </r>
  <r>
    <s v="A10286"/>
    <x v="99"/>
    <s v="Nissan"/>
    <x v="0"/>
    <x v="52"/>
    <x v="1"/>
    <x v="1"/>
    <x v="26"/>
    <s v="N"/>
    <s v="Y"/>
    <s v="N"/>
  </r>
  <r>
    <s v="A10287"/>
    <x v="167"/>
    <s v="Jeep"/>
    <x v="6"/>
    <x v="8"/>
    <x v="3"/>
    <x v="0"/>
    <x v="22"/>
    <s v="Y"/>
    <s v="N"/>
    <s v="N"/>
  </r>
  <r>
    <s v="A10288"/>
    <x v="8"/>
    <s v="Mercedes"/>
    <x v="6"/>
    <x v="44"/>
    <x v="2"/>
    <x v="0"/>
    <x v="27"/>
    <s v="N"/>
    <s v="Y"/>
    <s v="N"/>
  </r>
  <r>
    <s v="A10289"/>
    <x v="107"/>
    <s v="Subaru"/>
    <x v="6"/>
    <x v="53"/>
    <x v="0"/>
    <x v="1"/>
    <x v="98"/>
    <s v="N"/>
    <s v="Y"/>
    <s v="N"/>
  </r>
  <r>
    <s v="A10290"/>
    <x v="168"/>
    <s v="Kia"/>
    <x v="6"/>
    <x v="31"/>
    <x v="1"/>
    <x v="0"/>
    <x v="78"/>
    <s v="Y"/>
    <s v="Y"/>
    <s v="Y"/>
  </r>
  <r>
    <s v="A10291"/>
    <x v="26"/>
    <s v="Toyota"/>
    <x v="4"/>
    <x v="60"/>
    <x v="2"/>
    <x v="1"/>
    <x v="1"/>
    <s v="N"/>
    <s v="Y"/>
    <s v="N"/>
  </r>
  <r>
    <s v="A10292"/>
    <x v="169"/>
    <s v="Honda"/>
    <x v="6"/>
    <x v="4"/>
    <x v="3"/>
    <x v="0"/>
    <x v="111"/>
    <s v="N"/>
    <s v="Y"/>
    <s v="N"/>
  </r>
  <r>
    <s v="A10293"/>
    <x v="170"/>
    <s v="Ford"/>
    <x v="6"/>
    <x v="3"/>
    <x v="0"/>
    <x v="2"/>
    <x v="25"/>
    <s v="Y"/>
    <s v="Y"/>
    <s v="N"/>
  </r>
  <r>
    <s v="A10294"/>
    <x v="171"/>
    <s v="Chevrolet"/>
    <x v="6"/>
    <x v="6"/>
    <x v="1"/>
    <x v="0"/>
    <x v="112"/>
    <s v="N"/>
    <s v="N"/>
    <s v="Y"/>
  </r>
  <r>
    <s v="A10295"/>
    <x v="172"/>
    <s v="BMW"/>
    <x v="4"/>
    <x v="52"/>
    <x v="2"/>
    <x v="1"/>
    <x v="0"/>
    <s v="N"/>
    <s v="Y"/>
    <s v="N"/>
  </r>
  <r>
    <s v="A10296"/>
    <x v="88"/>
    <s v="Nissan"/>
    <x v="6"/>
    <x v="40"/>
    <x v="3"/>
    <x v="0"/>
    <x v="22"/>
    <s v="N"/>
    <s v="Y"/>
    <s v="N"/>
  </r>
  <r>
    <s v="A10297"/>
    <x v="89"/>
    <s v="Jeep"/>
    <x v="2"/>
    <x v="66"/>
    <x v="0"/>
    <x v="1"/>
    <x v="71"/>
    <s v="N"/>
    <s v="Y"/>
    <s v="N"/>
  </r>
  <r>
    <s v="A10298"/>
    <x v="55"/>
    <s v="Mercedes"/>
    <x v="6"/>
    <x v="32"/>
    <x v="1"/>
    <x v="0"/>
    <x v="19"/>
    <s v="Y"/>
    <s v="Y"/>
    <s v="N"/>
  </r>
  <r>
    <s v="A10299"/>
    <x v="173"/>
    <s v="Subaru"/>
    <x v="6"/>
    <x v="30"/>
    <x v="2"/>
    <x v="2"/>
    <x v="45"/>
    <s v="N"/>
    <s v="Y"/>
    <s v="N"/>
  </r>
  <r>
    <s v="A10300"/>
    <x v="113"/>
    <s v="Kia"/>
    <x v="6"/>
    <x v="17"/>
    <x v="3"/>
    <x v="0"/>
    <x v="78"/>
    <s v="Y"/>
    <s v="N"/>
    <s v="N"/>
  </r>
  <r>
    <s v="A10301"/>
    <x v="188"/>
    <s v="Toyota"/>
    <x v="6"/>
    <x v="20"/>
    <x v="0"/>
    <x v="0"/>
    <x v="50"/>
    <s v="N"/>
    <s v="Y"/>
    <s v="N"/>
  </r>
  <r>
    <s v="A10302"/>
    <x v="189"/>
    <s v="Honda"/>
    <x v="6"/>
    <x v="47"/>
    <x v="1"/>
    <x v="1"/>
    <x v="79"/>
    <s v="Y"/>
    <s v="Y"/>
    <s v="N"/>
  </r>
  <r>
    <s v="A10303"/>
    <x v="45"/>
    <s v="Ford"/>
    <x v="6"/>
    <x v="15"/>
    <x v="2"/>
    <x v="0"/>
    <x v="97"/>
    <s v="N"/>
    <s v="N"/>
    <s v="Y"/>
  </r>
  <r>
    <s v="A10304"/>
    <x v="76"/>
    <s v="Chevrolet"/>
    <x v="6"/>
    <x v="30"/>
    <x v="3"/>
    <x v="2"/>
    <x v="113"/>
    <s v="N"/>
    <s v="Y"/>
    <s v="N"/>
  </r>
  <r>
    <s v="A10305"/>
    <x v="190"/>
    <s v="BMW"/>
    <x v="6"/>
    <x v="38"/>
    <x v="0"/>
    <x v="0"/>
    <x v="43"/>
    <s v="N"/>
    <s v="Y"/>
    <s v="N"/>
  </r>
  <r>
    <s v="A10306"/>
    <x v="61"/>
    <s v="Nissan"/>
    <x v="4"/>
    <x v="54"/>
    <x v="1"/>
    <x v="1"/>
    <x v="71"/>
    <s v="N"/>
    <s v="Y"/>
    <s v="N"/>
  </r>
  <r>
    <s v="A10307"/>
    <x v="191"/>
    <s v="Jeep"/>
    <x v="6"/>
    <x v="4"/>
    <x v="3"/>
    <x v="0"/>
    <x v="13"/>
    <s v="Y"/>
    <s v="N"/>
    <s v="N"/>
  </r>
  <r>
    <s v="A10308"/>
    <x v="192"/>
    <s v="Mercedes"/>
    <x v="6"/>
    <x v="51"/>
    <x v="2"/>
    <x v="0"/>
    <x v="48"/>
    <s v="N"/>
    <s v="Y"/>
    <s v="N"/>
  </r>
  <r>
    <s v="A10309"/>
    <x v="193"/>
    <s v="Subaru"/>
    <x v="6"/>
    <x v="21"/>
    <x v="0"/>
    <x v="1"/>
    <x v="34"/>
    <s v="N"/>
    <s v="Y"/>
    <s v="Y"/>
  </r>
  <r>
    <s v="A10310"/>
    <x v="72"/>
    <s v="Kia"/>
    <x v="6"/>
    <x v="0"/>
    <x v="1"/>
    <x v="0"/>
    <x v="78"/>
    <s v="Y"/>
    <s v="Y"/>
    <s v="N"/>
  </r>
  <r>
    <s v="A10311"/>
    <x v="194"/>
    <s v="Toyota"/>
    <x v="2"/>
    <x v="61"/>
    <x v="2"/>
    <x v="1"/>
    <x v="36"/>
    <s v="N"/>
    <s v="Y"/>
    <s v="N"/>
  </r>
  <r>
    <s v="A10312"/>
    <x v="195"/>
    <s v="Honda"/>
    <x v="6"/>
    <x v="24"/>
    <x v="3"/>
    <x v="0"/>
    <x v="114"/>
    <s v="N"/>
    <s v="Y"/>
    <s v="N"/>
  </r>
  <r>
    <s v="A10313"/>
    <x v="101"/>
    <s v="Ford"/>
    <x v="6"/>
    <x v="41"/>
    <x v="0"/>
    <x v="2"/>
    <x v="33"/>
    <s v="Y"/>
    <s v="Y"/>
    <s v="N"/>
  </r>
  <r>
    <s v="A10314"/>
    <x v="196"/>
    <s v="Chevrolet"/>
    <x v="6"/>
    <x v="15"/>
    <x v="1"/>
    <x v="0"/>
    <x v="115"/>
    <s v="N"/>
    <s v="N"/>
    <s v="Y"/>
  </r>
  <r>
    <s v="A10315"/>
    <x v="150"/>
    <s v="BMW"/>
    <x v="2"/>
    <x v="56"/>
    <x v="2"/>
    <x v="1"/>
    <x v="116"/>
    <s v="N"/>
    <s v="Y"/>
    <s v="N"/>
  </r>
  <r>
    <s v="A10316"/>
    <x v="39"/>
    <s v="Nissan"/>
    <x v="6"/>
    <x v="42"/>
    <x v="3"/>
    <x v="0"/>
    <x v="13"/>
    <s v="N"/>
    <s v="Y"/>
    <s v="N"/>
  </r>
  <r>
    <s v="A10317"/>
    <x v="160"/>
    <s v="Jeep"/>
    <x v="6"/>
    <x v="67"/>
    <x v="0"/>
    <x v="1"/>
    <x v="14"/>
    <s v="N"/>
    <s v="Y"/>
    <s v="N"/>
  </r>
  <r>
    <s v="A10318"/>
    <x v="192"/>
    <s v="Mercedes"/>
    <x v="6"/>
    <x v="46"/>
    <x v="1"/>
    <x v="0"/>
    <x v="2"/>
    <s v="Y"/>
    <s v="Y"/>
    <s v="N"/>
  </r>
  <r>
    <s v="A10319"/>
    <x v="197"/>
    <s v="Subaru"/>
    <x v="6"/>
    <x v="16"/>
    <x v="2"/>
    <x v="2"/>
    <x v="6"/>
    <s v="N"/>
    <s v="Y"/>
    <s v="N"/>
  </r>
  <r>
    <s v="A10320"/>
    <x v="198"/>
    <s v="Kia"/>
    <x v="6"/>
    <x v="28"/>
    <x v="3"/>
    <x v="0"/>
    <x v="78"/>
    <s v="Y"/>
    <s v="N"/>
    <s v="N"/>
  </r>
  <r>
    <s v="A10321"/>
    <x v="43"/>
    <s v="Toyota"/>
    <x v="6"/>
    <x v="27"/>
    <x v="0"/>
    <x v="0"/>
    <x v="35"/>
    <s v="N"/>
    <s v="Y"/>
    <s v="N"/>
  </r>
  <r>
    <s v="A10322"/>
    <x v="128"/>
    <s v="Honda"/>
    <x v="6"/>
    <x v="5"/>
    <x v="1"/>
    <x v="1"/>
    <x v="94"/>
    <s v="N"/>
    <s v="Y"/>
    <s v="Y"/>
  </r>
  <r>
    <s v="A10323"/>
    <x v="129"/>
    <s v="Ford"/>
    <x v="6"/>
    <x v="35"/>
    <x v="2"/>
    <x v="0"/>
    <x v="106"/>
    <s v="Y"/>
    <s v="N"/>
    <s v="N"/>
  </r>
  <r>
    <s v="A10324"/>
    <x v="163"/>
    <s v="Chevrolet"/>
    <x v="6"/>
    <x v="58"/>
    <x v="3"/>
    <x v="2"/>
    <x v="104"/>
    <s v="N"/>
    <s v="Y"/>
    <s v="N"/>
  </r>
  <r>
    <s v="A10325"/>
    <x v="199"/>
    <s v="BMW"/>
    <x v="6"/>
    <x v="3"/>
    <x v="0"/>
    <x v="0"/>
    <x v="64"/>
    <s v="N"/>
    <s v="Y"/>
    <s v="N"/>
  </r>
  <r>
    <s v="A10326"/>
    <x v="170"/>
    <s v="Nissan"/>
    <x v="2"/>
    <x v="59"/>
    <x v="1"/>
    <x v="1"/>
    <x v="14"/>
    <s v="N"/>
    <s v="Y"/>
    <s v="N"/>
  </r>
  <r>
    <s v="A10327"/>
    <x v="123"/>
    <s v="Jeep"/>
    <x v="6"/>
    <x v="24"/>
    <x v="3"/>
    <x v="0"/>
    <x v="31"/>
    <s v="Y"/>
    <s v="N"/>
    <s v="N"/>
  </r>
  <r>
    <s v="A10328"/>
    <x v="60"/>
    <s v="Mercedes"/>
    <x v="6"/>
    <x v="58"/>
    <x v="2"/>
    <x v="0"/>
    <x v="58"/>
    <s v="N"/>
    <s v="Y"/>
    <s v="N"/>
  </r>
  <r>
    <s v="A10329"/>
    <x v="200"/>
    <s v="Subaru"/>
    <x v="6"/>
    <x v="7"/>
    <x v="0"/>
    <x v="1"/>
    <x v="84"/>
    <s v="Y"/>
    <s v="Y"/>
    <s v="Y"/>
  </r>
  <r>
    <s v="A10330"/>
    <x v="201"/>
    <s v="Kia"/>
    <x v="6"/>
    <x v="37"/>
    <x v="1"/>
    <x v="0"/>
    <x v="90"/>
    <s v="N"/>
    <s v="Y"/>
    <s v="N"/>
  </r>
  <r>
    <s v="A10331"/>
    <x v="194"/>
    <s v="Toyota"/>
    <x v="6"/>
    <x v="62"/>
    <x v="2"/>
    <x v="1"/>
    <x v="40"/>
    <s v="N"/>
    <s v="Y"/>
    <s v="N"/>
  </r>
  <r>
    <s v="A10332"/>
    <x v="137"/>
    <s v="Honda"/>
    <x v="6"/>
    <x v="40"/>
    <x v="3"/>
    <x v="0"/>
    <x v="117"/>
    <s v="N"/>
    <s v="Y"/>
    <s v="N"/>
  </r>
  <r>
    <s v="A10333"/>
    <x v="133"/>
    <s v="Ford"/>
    <x v="6"/>
    <x v="49"/>
    <x v="0"/>
    <x v="2"/>
    <x v="45"/>
    <s v="Y"/>
    <s v="Y"/>
    <s v="N"/>
  </r>
  <r>
    <s v="A10334"/>
    <x v="202"/>
    <s v="Chevrolet"/>
    <x v="6"/>
    <x v="26"/>
    <x v="1"/>
    <x v="0"/>
    <x v="118"/>
    <s v="N"/>
    <s v="N"/>
    <s v="Y"/>
  </r>
  <r>
    <s v="A10335"/>
    <x v="135"/>
    <s v="BMW"/>
    <x v="6"/>
    <x v="60"/>
    <x v="2"/>
    <x v="1"/>
    <x v="119"/>
    <s v="N"/>
    <s v="Y"/>
    <s v="N"/>
  </r>
  <r>
    <s v="A10336"/>
    <x v="203"/>
    <s v="Nissan"/>
    <x v="6"/>
    <x v="12"/>
    <x v="3"/>
    <x v="0"/>
    <x v="43"/>
    <s v="N"/>
    <s v="Y"/>
    <s v="N"/>
  </r>
  <r>
    <s v="A10337"/>
    <x v="77"/>
    <s v="Jeep"/>
    <x v="6"/>
    <x v="68"/>
    <x v="0"/>
    <x v="1"/>
    <x v="95"/>
    <s v="N"/>
    <s v="Y"/>
    <s v="N"/>
  </r>
  <r>
    <s v="A10338"/>
    <x v="149"/>
    <s v="Mercedes"/>
    <x v="6"/>
    <x v="1"/>
    <x v="1"/>
    <x v="0"/>
    <x v="22"/>
    <s v="Y"/>
    <s v="Y"/>
    <s v="N"/>
  </r>
  <r>
    <s v="A10339"/>
    <x v="95"/>
    <s v="Subaru"/>
    <x v="6"/>
    <x v="48"/>
    <x v="2"/>
    <x v="2"/>
    <x v="38"/>
    <s v="N"/>
    <s v="Y"/>
    <s v="N"/>
  </r>
  <r>
    <s v="A10340"/>
    <x v="204"/>
    <s v="Kia"/>
    <x v="6"/>
    <x v="8"/>
    <x v="3"/>
    <x v="0"/>
    <x v="85"/>
    <s v="Y"/>
    <s v="N"/>
    <s v="N"/>
  </r>
  <r>
    <s v="A10341"/>
    <x v="101"/>
    <s v="Toyota"/>
    <x v="6"/>
    <x v="18"/>
    <x v="0"/>
    <x v="0"/>
    <x v="19"/>
    <s v="N"/>
    <s v="Y"/>
    <s v="N"/>
  </r>
  <r>
    <s v="A10342"/>
    <x v="168"/>
    <s v="Honda"/>
    <x v="6"/>
    <x v="43"/>
    <x v="1"/>
    <x v="1"/>
    <x v="42"/>
    <s v="Y"/>
    <s v="Y"/>
    <s v="N"/>
  </r>
  <r>
    <s v="A10343"/>
    <x v="205"/>
    <s v="Ford"/>
    <x v="6"/>
    <x v="45"/>
    <x v="2"/>
    <x v="0"/>
    <x v="109"/>
    <s v="N"/>
    <s v="N"/>
    <s v="Y"/>
  </r>
  <r>
    <s v="A10344"/>
    <x v="206"/>
    <s v="Chevrolet"/>
    <x v="6"/>
    <x v="36"/>
    <x v="3"/>
    <x v="2"/>
    <x v="120"/>
    <s v="N"/>
    <s v="Y"/>
    <s v="N"/>
  </r>
  <r>
    <s v="A10345"/>
    <x v="207"/>
    <s v="BMW"/>
    <x v="6"/>
    <x v="41"/>
    <x v="0"/>
    <x v="0"/>
    <x v="78"/>
    <s v="Y"/>
    <s v="Y"/>
    <s v="N"/>
  </r>
  <r>
    <s v="A10346"/>
    <x v="208"/>
    <s v="Nissan"/>
    <x v="6"/>
    <x v="61"/>
    <x v="1"/>
    <x v="1"/>
    <x v="95"/>
    <s v="N"/>
    <s v="Y"/>
    <s v="N"/>
  </r>
  <r>
    <s v="A10347"/>
    <x v="209"/>
    <s v="Jeep"/>
    <x v="6"/>
    <x v="40"/>
    <x v="3"/>
    <x v="0"/>
    <x v="54"/>
    <s v="N"/>
    <s v="N"/>
    <s v="N"/>
  </r>
  <r>
    <s v="A10348"/>
    <x v="148"/>
    <s v="Mercedes"/>
    <x v="6"/>
    <x v="36"/>
    <x v="2"/>
    <x v="0"/>
    <x v="2"/>
    <s v="N"/>
    <s v="Y"/>
    <s v="N"/>
  </r>
  <r>
    <s v="A10349"/>
    <x v="210"/>
    <s v="Subaru"/>
    <x v="6"/>
    <x v="27"/>
    <x v="0"/>
    <x v="1"/>
    <x v="121"/>
    <s v="N"/>
    <s v="Y"/>
    <s v="N"/>
  </r>
  <r>
    <s v="A10350"/>
    <x v="201"/>
    <s v="Kia"/>
    <x v="6"/>
    <x v="17"/>
    <x v="1"/>
    <x v="0"/>
    <x v="100"/>
    <s v="Y"/>
    <s v="Y"/>
    <s v="Y"/>
  </r>
  <r>
    <s v="A10351"/>
    <x v="194"/>
    <s v="Toyota"/>
    <x v="6"/>
    <x v="63"/>
    <x v="2"/>
    <x v="1"/>
    <x v="8"/>
    <s v="N"/>
    <s v="Y"/>
    <s v="N"/>
  </r>
  <r>
    <s v="A10352"/>
    <x v="142"/>
    <s v="Honda"/>
    <x v="6"/>
    <x v="42"/>
    <x v="3"/>
    <x v="0"/>
    <x v="122"/>
    <s v="N"/>
    <s v="Y"/>
    <s v="N"/>
  </r>
  <r>
    <s v="A10353"/>
    <x v="133"/>
    <s v="Ford"/>
    <x v="6"/>
    <x v="14"/>
    <x v="0"/>
    <x v="2"/>
    <x v="6"/>
    <s v="Y"/>
    <s v="Y"/>
    <s v="N"/>
  </r>
  <r>
    <s v="A10354"/>
    <x v="139"/>
    <s v="Chevrolet"/>
    <x v="6"/>
    <x v="35"/>
    <x v="1"/>
    <x v="0"/>
    <x v="123"/>
    <s v="N"/>
    <s v="N"/>
    <s v="Y"/>
  </r>
  <r>
    <s v="A10355"/>
    <x v="211"/>
    <s v="BMW"/>
    <x v="6"/>
    <x v="62"/>
    <x v="2"/>
    <x v="1"/>
    <x v="124"/>
    <s v="N"/>
    <s v="Y"/>
    <s v="N"/>
  </r>
  <r>
    <s v="A10356"/>
    <x v="203"/>
    <s v="Nissan"/>
    <x v="6"/>
    <x v="32"/>
    <x v="3"/>
    <x v="0"/>
    <x v="54"/>
    <s v="N"/>
    <s v="Y"/>
    <s v="N"/>
  </r>
  <r>
    <s v="A10357"/>
    <x v="212"/>
    <s v="Jeep"/>
    <x v="6"/>
    <x v="69"/>
    <x v="0"/>
    <x v="1"/>
    <x v="125"/>
    <s v="N"/>
    <s v="Y"/>
    <s v="N"/>
  </r>
  <r>
    <s v="A10358"/>
    <x v="213"/>
    <s v="Mercedes"/>
    <x v="6"/>
    <x v="53"/>
    <x v="1"/>
    <x v="0"/>
    <x v="13"/>
    <s v="Y"/>
    <s v="Y"/>
    <s v="N"/>
  </r>
  <r>
    <s v="A10359"/>
    <x v="83"/>
    <s v="Subaru"/>
    <x v="6"/>
    <x v="52"/>
    <x v="2"/>
    <x v="2"/>
    <x v="59"/>
    <s v="N"/>
    <s v="Y"/>
    <s v="N"/>
  </r>
  <r>
    <s v="A10360"/>
    <x v="214"/>
    <s v="Kia"/>
    <x v="6"/>
    <x v="20"/>
    <x v="3"/>
    <x v="0"/>
    <x v="97"/>
    <s v="Y"/>
    <s v="N"/>
    <s v="N"/>
  </r>
  <r>
    <s v="A10361"/>
    <x v="188"/>
    <s v="Toyota"/>
    <x v="6"/>
    <x v="38"/>
    <x v="0"/>
    <x v="0"/>
    <x v="48"/>
    <s v="N"/>
    <s v="Y"/>
    <s v="N"/>
  </r>
  <r>
    <s v="A10362"/>
    <x v="189"/>
    <s v="Honda"/>
    <x v="6"/>
    <x v="50"/>
    <x v="1"/>
    <x v="1"/>
    <x v="73"/>
    <s v="N"/>
    <s v="Y"/>
    <s v="Y"/>
  </r>
  <r>
    <s v="A10363"/>
    <x v="45"/>
    <s v="Ford"/>
    <x v="6"/>
    <x v="11"/>
    <x v="2"/>
    <x v="0"/>
    <x v="112"/>
    <s v="Y"/>
    <s v="N"/>
    <s v="N"/>
  </r>
  <r>
    <s v="A10364"/>
    <x v="76"/>
    <s v="Chevrolet"/>
    <x v="6"/>
    <x v="54"/>
    <x v="3"/>
    <x v="2"/>
    <x v="126"/>
    <s v="N"/>
    <s v="Y"/>
    <s v="N"/>
  </r>
  <r>
    <s v="A10365"/>
    <x v="190"/>
    <s v="BMW"/>
    <x v="6"/>
    <x v="49"/>
    <x v="0"/>
    <x v="0"/>
    <x v="90"/>
    <s v="N"/>
    <s v="Y"/>
    <s v="N"/>
  </r>
  <r>
    <s v="A10366"/>
    <x v="61"/>
    <s v="Nissan"/>
    <x v="6"/>
    <x v="63"/>
    <x v="1"/>
    <x v="1"/>
    <x v="125"/>
    <s v="N"/>
    <s v="Y"/>
    <s v="N"/>
  </r>
  <r>
    <s v="A10367"/>
    <x v="191"/>
    <s v="Jeep"/>
    <x v="6"/>
    <x v="42"/>
    <x v="3"/>
    <x v="0"/>
    <x v="64"/>
    <s v="Y"/>
    <s v="N"/>
    <s v="N"/>
  </r>
  <r>
    <s v="A10368"/>
    <x v="192"/>
    <s v="Mercedes"/>
    <x v="6"/>
    <x v="56"/>
    <x v="2"/>
    <x v="0"/>
    <x v="22"/>
    <s v="N"/>
    <s v="Y"/>
    <s v="N"/>
  </r>
  <r>
    <s v="A10369"/>
    <x v="193"/>
    <s v="Subaru"/>
    <x v="6"/>
    <x v="18"/>
    <x v="0"/>
    <x v="1"/>
    <x v="127"/>
    <s v="Y"/>
    <s v="Y"/>
    <s v="Y"/>
  </r>
  <r>
    <s v="A10370"/>
    <x v="72"/>
    <s v="Kia"/>
    <x v="6"/>
    <x v="28"/>
    <x v="1"/>
    <x v="0"/>
    <x v="103"/>
    <s v="N"/>
    <s v="Y"/>
    <s v="N"/>
  </r>
  <r>
    <s v="A10371"/>
    <x v="194"/>
    <s v="Toyota"/>
    <x v="6"/>
    <x v="64"/>
    <x v="2"/>
    <x v="1"/>
    <x v="26"/>
    <s v="N"/>
    <s v="Y"/>
    <s v="N"/>
  </r>
  <r>
    <s v="A10372"/>
    <x v="195"/>
    <s v="Honda"/>
    <x v="6"/>
    <x v="12"/>
    <x v="3"/>
    <x v="0"/>
    <x v="128"/>
    <s v="N"/>
    <s v="Y"/>
    <s v="N"/>
  </r>
  <r>
    <s v="A10373"/>
    <x v="101"/>
    <s v="Ford"/>
    <x v="6"/>
    <x v="34"/>
    <x v="0"/>
    <x v="2"/>
    <x v="38"/>
    <s v="Y"/>
    <s v="Y"/>
    <s v="N"/>
  </r>
  <r>
    <s v="A10374"/>
    <x v="196"/>
    <s v="Chevrolet"/>
    <x v="6"/>
    <x v="45"/>
    <x v="1"/>
    <x v="0"/>
    <x v="129"/>
    <s v="N"/>
    <s v="N"/>
    <s v="Y"/>
  </r>
  <r>
    <s v="A10375"/>
    <x v="150"/>
    <s v="BMW"/>
    <x v="6"/>
    <x v="64"/>
    <x v="2"/>
    <x v="1"/>
    <x v="130"/>
    <s v="N"/>
    <s v="Y"/>
    <s v="N"/>
  </r>
  <r>
    <s v="A10376"/>
    <x v="39"/>
    <s v="Nissan"/>
    <x v="6"/>
    <x v="46"/>
    <x v="3"/>
    <x v="0"/>
    <x v="74"/>
    <s v="N"/>
    <s v="Y"/>
    <s v="N"/>
  </r>
  <r>
    <s v="A10377"/>
    <x v="160"/>
    <s v="Jeep"/>
    <x v="6"/>
    <x v="70"/>
    <x v="0"/>
    <x v="1"/>
    <x v="37"/>
    <s v="N"/>
    <s v="Y"/>
    <s v="N"/>
  </r>
  <r>
    <s v="A10378"/>
    <x v="192"/>
    <s v="Mercedes"/>
    <x v="6"/>
    <x v="21"/>
    <x v="1"/>
    <x v="0"/>
    <x v="31"/>
    <s v="Y"/>
    <s v="Y"/>
    <s v="N"/>
  </r>
  <r>
    <s v="A10379"/>
    <x v="197"/>
    <s v="Subaru"/>
    <x v="6"/>
    <x v="59"/>
    <x v="2"/>
    <x v="2"/>
    <x v="9"/>
    <s v="N"/>
    <s v="Y"/>
    <s v="N"/>
  </r>
  <r>
    <s v="A10380"/>
    <x v="198"/>
    <s v="Kia"/>
    <x v="6"/>
    <x v="4"/>
    <x v="3"/>
    <x v="0"/>
    <x v="100"/>
    <s v="Y"/>
    <s v="N"/>
    <s v="N"/>
  </r>
  <r>
    <s v="A10381"/>
    <x v="43"/>
    <s v="Toyota"/>
    <x v="6"/>
    <x v="3"/>
    <x v="0"/>
    <x v="0"/>
    <x v="58"/>
    <s v="N"/>
    <s v="Y"/>
    <s v="N"/>
  </r>
  <r>
    <s v="A10382"/>
    <x v="128"/>
    <s v="Honda"/>
    <x v="6"/>
    <x v="25"/>
    <x v="1"/>
    <x v="1"/>
    <x v="131"/>
    <s v="Y"/>
    <s v="Y"/>
    <s v="N"/>
  </r>
  <r>
    <s v="A10383"/>
    <x v="129"/>
    <s v="Ford"/>
    <x v="6"/>
    <x v="31"/>
    <x v="2"/>
    <x v="0"/>
    <x v="115"/>
    <s v="N"/>
    <s v="N"/>
    <s v="Y"/>
  </r>
  <r>
    <s v="A10384"/>
    <x v="163"/>
    <s v="Chevrolet"/>
    <x v="6"/>
    <x v="60"/>
    <x v="3"/>
    <x v="2"/>
    <x v="57"/>
    <s v="N"/>
    <s v="Y"/>
    <s v="N"/>
  </r>
  <r>
    <s v="A10385"/>
    <x v="199"/>
    <s v="BMW"/>
    <x v="6"/>
    <x v="14"/>
    <x v="0"/>
    <x v="0"/>
    <x v="100"/>
    <s v="N"/>
    <s v="Y"/>
    <s v="N"/>
  </r>
  <r>
    <s v="A10386"/>
    <x v="170"/>
    <s v="Nissan"/>
    <x v="6"/>
    <x v="65"/>
    <x v="1"/>
    <x v="1"/>
    <x v="37"/>
    <s v="N"/>
    <s v="Y"/>
    <s v="N"/>
  </r>
  <r>
    <s v="A10387"/>
    <x v="123"/>
    <s v="Jeep"/>
    <x v="6"/>
    <x v="12"/>
    <x v="3"/>
    <x v="0"/>
    <x v="78"/>
    <s v="Y"/>
    <s v="N"/>
    <s v="N"/>
  </r>
  <r>
    <s v="A10388"/>
    <x v="60"/>
    <s v="Mercedes"/>
    <x v="6"/>
    <x v="60"/>
    <x v="2"/>
    <x v="0"/>
    <x v="31"/>
    <s v="N"/>
    <s v="Y"/>
    <s v="N"/>
  </r>
  <r>
    <s v="A10389"/>
    <x v="200"/>
    <s v="Subaru"/>
    <x v="6"/>
    <x v="38"/>
    <x v="0"/>
    <x v="1"/>
    <x v="0"/>
    <s v="N"/>
    <s v="Y"/>
    <s v="N"/>
  </r>
  <r>
    <s v="A10390"/>
    <x v="201"/>
    <s v="Kia"/>
    <x v="6"/>
    <x v="8"/>
    <x v="1"/>
    <x v="0"/>
    <x v="106"/>
    <s v="Y"/>
    <s v="Y"/>
    <s v="Y"/>
  </r>
  <r>
    <s v="A10391"/>
    <x v="194"/>
    <s v="Toyota"/>
    <x v="6"/>
    <x v="66"/>
    <x v="2"/>
    <x v="1"/>
    <x v="71"/>
    <s v="N"/>
    <s v="Y"/>
    <s v="N"/>
  </r>
  <r>
    <s v="A10392"/>
    <x v="137"/>
    <s v="Honda"/>
    <x v="6"/>
    <x v="32"/>
    <x v="3"/>
    <x v="0"/>
    <x v="132"/>
    <s v="N"/>
    <s v="Y"/>
    <s v="N"/>
  </r>
  <r>
    <s v="A10393"/>
    <x v="133"/>
    <s v="Ford"/>
    <x v="6"/>
    <x v="23"/>
    <x v="0"/>
    <x v="2"/>
    <x v="59"/>
    <s v="Y"/>
    <s v="Y"/>
    <s v="N"/>
  </r>
  <r>
    <s v="A10394"/>
    <x v="202"/>
    <s v="Chevrolet"/>
    <x v="6"/>
    <x v="11"/>
    <x v="1"/>
    <x v="0"/>
    <x v="133"/>
    <s v="N"/>
    <s v="N"/>
    <s v="Y"/>
  </r>
  <r>
    <s v="A10395"/>
    <x v="135"/>
    <s v="BMW"/>
    <x v="6"/>
    <x v="67"/>
    <x v="2"/>
    <x v="1"/>
    <x v="134"/>
    <s v="N"/>
    <s v="Y"/>
    <s v="N"/>
  </r>
  <r>
    <s v="A10396"/>
    <x v="203"/>
    <s v="Nissan"/>
    <x v="6"/>
    <x v="1"/>
    <x v="3"/>
    <x v="0"/>
    <x v="85"/>
    <s v="N"/>
    <s v="Y"/>
    <s v="N"/>
  </r>
  <r>
    <s v="A10397"/>
    <x v="77"/>
    <s v="Jeep"/>
    <x v="6"/>
    <x v="71"/>
    <x v="0"/>
    <x v="1"/>
    <x v="30"/>
    <s v="N"/>
    <s v="Y"/>
    <s v="N"/>
  </r>
  <r>
    <s v="A10398"/>
    <x v="149"/>
    <s v="Mercedes"/>
    <x v="6"/>
    <x v="7"/>
    <x v="1"/>
    <x v="0"/>
    <x v="54"/>
    <s v="Y"/>
    <s v="Y"/>
    <s v="N"/>
  </r>
  <r>
    <s v="A10399"/>
    <x v="95"/>
    <s v="Subaru"/>
    <x v="6"/>
    <x v="61"/>
    <x v="2"/>
    <x v="2"/>
    <x v="19"/>
    <s v="N"/>
    <s v="Y"/>
    <s v="N"/>
  </r>
  <r>
    <s v="A10400"/>
    <x v="204"/>
    <s v="Kia"/>
    <x v="6"/>
    <x v="24"/>
    <x v="3"/>
    <x v="0"/>
    <x v="103"/>
    <s v="Y"/>
    <s v="N"/>
    <s v="N"/>
  </r>
  <r>
    <s v="A10401"/>
    <x v="188"/>
    <s v="Toyota"/>
    <x v="6"/>
    <x v="41"/>
    <x v="0"/>
    <x v="0"/>
    <x v="2"/>
    <s v="N"/>
    <s v="Y"/>
    <s v="N"/>
  </r>
  <r>
    <s v="A10402"/>
    <x v="189"/>
    <s v="Honda"/>
    <x v="6"/>
    <x v="55"/>
    <x v="1"/>
    <x v="1"/>
    <x v="113"/>
    <s v="N"/>
    <s v="Y"/>
    <s v="Y"/>
  </r>
  <r>
    <s v="A10403"/>
    <x v="45"/>
    <s v="Ford"/>
    <x v="6"/>
    <x v="0"/>
    <x v="2"/>
    <x v="0"/>
    <x v="118"/>
    <s v="Y"/>
    <s v="N"/>
    <s v="N"/>
  </r>
  <r>
    <s v="A10404"/>
    <x v="76"/>
    <s v="Chevrolet"/>
    <x v="6"/>
    <x v="62"/>
    <x v="3"/>
    <x v="2"/>
    <x v="135"/>
    <s v="N"/>
    <s v="Y"/>
    <s v="N"/>
  </r>
  <r>
    <s v="A10405"/>
    <x v="190"/>
    <s v="BMW"/>
    <x v="6"/>
    <x v="34"/>
    <x v="0"/>
    <x v="0"/>
    <x v="106"/>
    <s v="N"/>
    <s v="Y"/>
    <s v="N"/>
  </r>
  <r>
    <s v="A10406"/>
    <x v="61"/>
    <s v="Nissan"/>
    <x v="6"/>
    <x v="68"/>
    <x v="1"/>
    <x v="1"/>
    <x v="12"/>
    <s v="N"/>
    <s v="Y"/>
    <s v="N"/>
  </r>
  <r>
    <s v="A10407"/>
    <x v="191"/>
    <s v="Jeep"/>
    <x v="6"/>
    <x v="32"/>
    <x v="3"/>
    <x v="0"/>
    <x v="90"/>
    <s v="Y"/>
    <s v="N"/>
    <s v="N"/>
  </r>
  <r>
    <s v="A10408"/>
    <x v="192"/>
    <s v="Mercedes"/>
    <x v="6"/>
    <x v="63"/>
    <x v="2"/>
    <x v="0"/>
    <x v="54"/>
    <s v="N"/>
    <s v="Y"/>
    <s v="N"/>
  </r>
  <r>
    <s v="A10409"/>
    <x v="193"/>
    <s v="Subaru"/>
    <x v="6"/>
    <x v="3"/>
    <x v="0"/>
    <x v="1"/>
    <x v="136"/>
    <s v="Y"/>
    <s v="Y"/>
    <s v="N"/>
  </r>
  <r>
    <s v="A10410"/>
    <x v="72"/>
    <s v="Kia"/>
    <x v="6"/>
    <x v="20"/>
    <x v="1"/>
    <x v="0"/>
    <x v="112"/>
    <s v="N"/>
    <s v="Y"/>
    <s v="Y"/>
  </r>
  <r>
    <s v="A10411"/>
    <x v="194"/>
    <s v="Toyota"/>
    <x v="6"/>
    <x v="69"/>
    <x v="2"/>
    <x v="1"/>
    <x v="14"/>
    <s v="N"/>
    <s v="Y"/>
    <s v="N"/>
  </r>
  <r>
    <s v="A10412"/>
    <x v="142"/>
    <s v="Honda"/>
    <x v="6"/>
    <x v="46"/>
    <x v="3"/>
    <x v="0"/>
    <x v="137"/>
    <s v="N"/>
    <s v="Y"/>
    <s v="N"/>
  </r>
  <r>
    <s v="A10413"/>
    <x v="133"/>
    <s v="Ford"/>
    <x v="6"/>
    <x v="47"/>
    <x v="0"/>
    <x v="2"/>
    <x v="9"/>
    <s v="Y"/>
    <s v="Y"/>
    <s v="N"/>
  </r>
  <r>
    <s v="A10414"/>
    <x v="139"/>
    <s v="Chevrolet"/>
    <x v="6"/>
    <x v="31"/>
    <x v="1"/>
    <x v="0"/>
    <x v="138"/>
    <s v="N"/>
    <s v="N"/>
    <s v="Y"/>
  </r>
  <r>
    <s v="A10415"/>
    <x v="211"/>
    <s v="BMW"/>
    <x v="6"/>
    <x v="70"/>
    <x v="2"/>
    <x v="1"/>
    <x v="7"/>
    <s v="N"/>
    <s v="Y"/>
    <s v="N"/>
  </r>
  <r>
    <s v="A10416"/>
    <x v="203"/>
    <s v="Nissan"/>
    <x v="6"/>
    <x v="53"/>
    <x v="3"/>
    <x v="0"/>
    <x v="97"/>
    <s v="N"/>
    <s v="Y"/>
    <s v="N"/>
  </r>
  <r>
    <s v="A10417"/>
    <x v="212"/>
    <s v="Jeep"/>
    <x v="6"/>
    <x v="72"/>
    <x v="0"/>
    <x v="1"/>
    <x v="91"/>
    <s v="N"/>
    <s v="Y"/>
    <s v="N"/>
  </r>
  <r>
    <s v="A10418"/>
    <x v="213"/>
    <s v="Mercedes"/>
    <x v="6"/>
    <x v="27"/>
    <x v="1"/>
    <x v="0"/>
    <x v="74"/>
    <s v="Y"/>
    <s v="Y"/>
    <s v="N"/>
  </r>
  <r>
    <s v="A10419"/>
    <x v="83"/>
    <s v="Subaru"/>
    <x v="6"/>
    <x v="64"/>
    <x v="2"/>
    <x v="2"/>
    <x v="58"/>
    <s v="N"/>
    <s v="Y"/>
    <s v="N"/>
  </r>
  <r>
    <s v="A10420"/>
    <x v="214"/>
    <s v="Kia"/>
    <x v="6"/>
    <x v="40"/>
    <x v="3"/>
    <x v="0"/>
    <x v="109"/>
    <s v="Y"/>
    <s v="N"/>
    <s v="N"/>
  </r>
  <r>
    <s v="A10421"/>
    <x v="188"/>
    <s v="Toyota"/>
    <x v="6"/>
    <x v="49"/>
    <x v="0"/>
    <x v="0"/>
    <x v="22"/>
    <s v="N"/>
    <s v="Y"/>
    <s v="N"/>
  </r>
  <r>
    <s v="A10422"/>
    <x v="189"/>
    <s v="Honda"/>
    <x v="6"/>
    <x v="57"/>
    <x v="1"/>
    <x v="1"/>
    <x v="139"/>
    <s v="Y"/>
    <s v="Y"/>
    <s v="N"/>
  </r>
  <r>
    <s v="A10423"/>
    <x v="45"/>
    <s v="Ford"/>
    <x v="6"/>
    <x v="37"/>
    <x v="2"/>
    <x v="0"/>
    <x v="123"/>
    <s v="N"/>
    <s v="N"/>
    <s v="N"/>
  </r>
  <r>
    <s v="A10424"/>
    <x v="76"/>
    <s v="Chevrolet"/>
    <x v="6"/>
    <x v="65"/>
    <x v="3"/>
    <x v="2"/>
    <x v="140"/>
    <s v="N"/>
    <s v="Y"/>
    <s v="N"/>
  </r>
  <r>
    <s v="A10425"/>
    <x v="190"/>
    <s v="BMW"/>
    <x v="6"/>
    <x v="23"/>
    <x v="0"/>
    <x v="0"/>
    <x v="112"/>
    <s v="Y"/>
    <s v="Y"/>
    <s v="Y"/>
  </r>
  <r>
    <s v="A10426"/>
    <x v="61"/>
    <s v="Nissan"/>
    <x v="6"/>
    <x v="71"/>
    <x v="1"/>
    <x v="1"/>
    <x v="91"/>
    <s v="N"/>
    <s v="Y"/>
    <s v="N"/>
  </r>
  <r>
    <s v="A10427"/>
    <x v="191"/>
    <s v="Jeep"/>
    <x v="6"/>
    <x v="46"/>
    <x v="3"/>
    <x v="0"/>
    <x v="100"/>
    <s v="N"/>
    <s v="N"/>
    <s v="N"/>
  </r>
  <r>
    <s v="A10428"/>
    <x v="192"/>
    <s v="Mercedes"/>
    <x v="6"/>
    <x v="66"/>
    <x v="2"/>
    <x v="0"/>
    <x v="78"/>
    <s v="N"/>
    <s v="Y"/>
    <s v="N"/>
  </r>
  <r>
    <s v="A10429"/>
    <x v="193"/>
    <s v="Subaru"/>
    <x v="6"/>
    <x v="41"/>
    <x v="0"/>
    <x v="1"/>
    <x v="141"/>
    <s v="N"/>
    <s v="Y"/>
    <s v="N"/>
  </r>
  <r>
    <s v="A10430"/>
    <x v="72"/>
    <s v="Kia"/>
    <x v="6"/>
    <x v="4"/>
    <x v="1"/>
    <x v="0"/>
    <x v="115"/>
    <s v="Y"/>
    <s v="Y"/>
    <s v="N"/>
  </r>
  <r>
    <s v="A10431"/>
    <x v="194"/>
    <s v="Toyota"/>
    <x v="6"/>
    <x v="73"/>
    <x v="2"/>
    <x v="1"/>
    <x v="95"/>
    <s v="N"/>
    <s v="Y"/>
    <s v="N"/>
  </r>
  <r>
    <s v="A10432"/>
    <x v="142"/>
    <s v="Honda"/>
    <x v="6"/>
    <x v="1"/>
    <x v="3"/>
    <x v="0"/>
    <x v="142"/>
    <s v="N"/>
    <s v="Y"/>
    <s v="N"/>
  </r>
  <r>
    <s v="A10433"/>
    <x v="133"/>
    <s v="Ford"/>
    <x v="6"/>
    <x v="5"/>
    <x v="0"/>
    <x v="2"/>
    <x v="19"/>
    <s v="Y"/>
    <s v="Y"/>
    <s v="N"/>
  </r>
  <r>
    <s v="A10434"/>
    <x v="139"/>
    <s v="Chevrolet"/>
    <x v="6"/>
    <x v="0"/>
    <x v="1"/>
    <x v="0"/>
    <x v="143"/>
    <s v="N"/>
    <s v="N"/>
    <s v="Y"/>
  </r>
  <r>
    <s v="A10435"/>
    <x v="211"/>
    <s v="BMW"/>
    <x v="6"/>
    <x v="72"/>
    <x v="2"/>
    <x v="1"/>
    <x v="68"/>
    <s v="N"/>
    <s v="Y"/>
    <s v="N"/>
  </r>
  <r>
    <s v="A10436"/>
    <x v="203"/>
    <s v="Nissan"/>
    <x v="6"/>
    <x v="21"/>
    <x v="3"/>
    <x v="0"/>
    <x v="103"/>
    <s v="N"/>
    <s v="Y"/>
    <s v="N"/>
  </r>
  <r>
    <s v="A10437"/>
    <x v="212"/>
    <s v="Jeep"/>
    <x v="6"/>
    <x v="74"/>
    <x v="0"/>
    <x v="1"/>
    <x v="98"/>
    <s v="N"/>
    <s v="Y"/>
    <s v="N"/>
  </r>
  <r>
    <s v="A10438"/>
    <x v="213"/>
    <s v="Mercedes"/>
    <x v="6"/>
    <x v="18"/>
    <x v="1"/>
    <x v="0"/>
    <x v="85"/>
    <s v="Y"/>
    <s v="Y"/>
    <s v="N"/>
  </r>
  <r>
    <s v="A10439"/>
    <x v="83"/>
    <s v="Subaru"/>
    <x v="6"/>
    <x v="67"/>
    <x v="2"/>
    <x v="2"/>
    <x v="22"/>
    <s v="N"/>
    <s v="Y"/>
    <s v="N"/>
  </r>
  <r>
    <s v="A10440"/>
    <x v="214"/>
    <s v="Kia"/>
    <x v="6"/>
    <x v="42"/>
    <x v="3"/>
    <x v="0"/>
    <x v="115"/>
    <s v="Y"/>
    <s v="N"/>
    <s v="N"/>
  </r>
  <r>
    <s v="A10441"/>
    <x v="188"/>
    <s v="Toyota"/>
    <x v="6"/>
    <x v="14"/>
    <x v="0"/>
    <x v="0"/>
    <x v="13"/>
    <s v="N"/>
    <s v="Y"/>
    <s v="N"/>
  </r>
  <r>
    <s v="A10442"/>
    <x v="189"/>
    <s v="Honda"/>
    <x v="6"/>
    <x v="10"/>
    <x v="1"/>
    <x v="1"/>
    <x v="47"/>
    <s v="N"/>
    <s v="Y"/>
    <s v="Y"/>
  </r>
  <r>
    <s v="A10443"/>
    <x v="45"/>
    <s v="Ford"/>
    <x v="6"/>
    <x v="17"/>
    <x v="2"/>
    <x v="0"/>
    <x v="129"/>
    <s v="Y"/>
    <s v="N"/>
    <s v="N"/>
  </r>
  <r>
    <s v="A10444"/>
    <x v="76"/>
    <s v="Chevrolet"/>
    <x v="6"/>
    <x v="68"/>
    <x v="3"/>
    <x v="2"/>
    <x v="20"/>
    <s v="N"/>
    <s v="Y"/>
    <s v="N"/>
  </r>
  <r>
    <s v="A10445"/>
    <x v="190"/>
    <s v="BMW"/>
    <x v="6"/>
    <x v="47"/>
    <x v="0"/>
    <x v="0"/>
    <x v="118"/>
    <s v="N"/>
    <s v="Y"/>
    <s v="N"/>
  </r>
  <r>
    <s v="A10446"/>
    <x v="61"/>
    <s v="Nissan"/>
    <x v="6"/>
    <x v="74"/>
    <x v="1"/>
    <x v="1"/>
    <x v="98"/>
    <s v="N"/>
    <s v="Y"/>
    <s v="N"/>
  </r>
  <r>
    <s v="A10447"/>
    <x v="191"/>
    <s v="Jeep"/>
    <x v="6"/>
    <x v="1"/>
    <x v="3"/>
    <x v="0"/>
    <x v="106"/>
    <s v="Y"/>
    <s v="N"/>
    <s v="N"/>
  </r>
  <r>
    <s v="A10448"/>
    <x v="192"/>
    <s v="Mercedes"/>
    <x v="6"/>
    <x v="69"/>
    <x v="2"/>
    <x v="0"/>
    <x v="90"/>
    <s v="N"/>
    <s v="Y"/>
    <s v="N"/>
  </r>
  <r>
    <s v="A10449"/>
    <x v="193"/>
    <s v="Subaru"/>
    <x v="6"/>
    <x v="49"/>
    <x v="0"/>
    <x v="1"/>
    <x v="144"/>
    <s v="N"/>
    <s v="Y"/>
    <s v="N"/>
  </r>
  <r>
    <s v="A10450"/>
    <x v="72"/>
    <s v="Kia"/>
    <x v="6"/>
    <x v="24"/>
    <x v="1"/>
    <x v="0"/>
    <x v="118"/>
    <s v="Y"/>
    <s v="Y"/>
    <s v="Y"/>
  </r>
  <r>
    <s v="A10451"/>
    <x v="194"/>
    <s v="Toyota"/>
    <x v="6"/>
    <x v="75"/>
    <x v="2"/>
    <x v="1"/>
    <x v="125"/>
    <s v="N"/>
    <s v="Y"/>
    <s v="N"/>
  </r>
  <r>
    <s v="A10452"/>
    <x v="142"/>
    <s v="Honda"/>
    <x v="6"/>
    <x v="53"/>
    <x v="3"/>
    <x v="0"/>
    <x v="145"/>
    <s v="N"/>
    <s v="Y"/>
    <s v="N"/>
  </r>
  <r>
    <s v="A10453"/>
    <x v="133"/>
    <s v="Ford"/>
    <x v="6"/>
    <x v="43"/>
    <x v="0"/>
    <x v="2"/>
    <x v="58"/>
    <s v="Y"/>
    <s v="Y"/>
    <s v="N"/>
  </r>
  <r>
    <s v="A10454"/>
    <x v="139"/>
    <s v="Chevrolet"/>
    <x v="6"/>
    <x v="37"/>
    <x v="1"/>
    <x v="0"/>
    <x v="146"/>
    <s v="N"/>
    <s v="N"/>
    <s v="Y"/>
  </r>
  <r>
    <s v="A10455"/>
    <x v="211"/>
    <s v="BMW"/>
    <x v="6"/>
    <x v="76"/>
    <x v="2"/>
    <x v="1"/>
    <x v="147"/>
    <s v="N"/>
    <s v="Y"/>
    <s v="N"/>
  </r>
  <r>
    <s v="A10456"/>
    <x v="203"/>
    <s v="Nissan"/>
    <x v="6"/>
    <x v="7"/>
    <x v="3"/>
    <x v="0"/>
    <x v="109"/>
    <s v="N"/>
    <s v="Y"/>
    <s v="N"/>
  </r>
  <r>
    <s v="A10457"/>
    <x v="212"/>
    <s v="Jeep"/>
    <x v="6"/>
    <x v="77"/>
    <x v="0"/>
    <x v="1"/>
    <x v="110"/>
    <s v="N"/>
    <s v="Y"/>
    <s v="N"/>
  </r>
  <r>
    <s v="A10458"/>
    <x v="213"/>
    <s v="Mercedes"/>
    <x v="6"/>
    <x v="38"/>
    <x v="1"/>
    <x v="0"/>
    <x v="97"/>
    <s v="Y"/>
    <s v="Y"/>
    <s v="N"/>
  </r>
  <r>
    <s v="A10459"/>
    <x v="83"/>
    <s v="Subaru"/>
    <x v="6"/>
    <x v="70"/>
    <x v="2"/>
    <x v="2"/>
    <x v="31"/>
    <s v="N"/>
    <s v="Y"/>
    <s v="N"/>
  </r>
  <r>
    <s v="A10460"/>
    <x v="214"/>
    <s v="Kia"/>
    <x v="6"/>
    <x v="12"/>
    <x v="3"/>
    <x v="0"/>
    <x v="123"/>
    <s v="Y"/>
    <s v="N"/>
    <s v="N"/>
  </r>
  <r>
    <s v="A10461"/>
    <x v="188"/>
    <s v="Toyota"/>
    <x v="6"/>
    <x v="34"/>
    <x v="0"/>
    <x v="0"/>
    <x v="31"/>
    <s v="N"/>
    <s v="Y"/>
    <s v="N"/>
  </r>
  <r>
    <s v="A10462"/>
    <x v="189"/>
    <s v="Honda"/>
    <x v="6"/>
    <x v="44"/>
    <x v="1"/>
    <x v="1"/>
    <x v="89"/>
    <s v="Y"/>
    <s v="Y"/>
    <s v="N"/>
  </r>
  <r>
    <s v="A10463"/>
    <x v="45"/>
    <s v="Ford"/>
    <x v="6"/>
    <x v="28"/>
    <x v="2"/>
    <x v="0"/>
    <x v="133"/>
    <s v="N"/>
    <s v="N"/>
    <s v="Y"/>
  </r>
  <r>
    <s v="A10464"/>
    <x v="76"/>
    <s v="Chevrolet"/>
    <x v="6"/>
    <x v="71"/>
    <x v="3"/>
    <x v="2"/>
    <x v="119"/>
    <s v="N"/>
    <s v="Y"/>
    <s v="N"/>
  </r>
  <r>
    <s v="A10465"/>
    <x v="190"/>
    <s v="BMW"/>
    <x v="6"/>
    <x v="5"/>
    <x v="0"/>
    <x v="0"/>
    <x v="129"/>
    <s v="Y"/>
    <s v="Y"/>
    <s v="N"/>
  </r>
  <r>
    <s v="A10466"/>
    <x v="61"/>
    <s v="Nissan"/>
    <x v="6"/>
    <x v="77"/>
    <x v="1"/>
    <x v="1"/>
    <x v="110"/>
    <s v="N"/>
    <s v="Y"/>
    <s v="N"/>
  </r>
  <r>
    <s v="A10467"/>
    <x v="191"/>
    <s v="Jeep"/>
    <x v="6"/>
    <x v="21"/>
    <x v="3"/>
    <x v="0"/>
    <x v="112"/>
    <s v="N"/>
    <s v="N"/>
    <s v="N"/>
  </r>
  <r>
    <s v="A10468"/>
    <x v="192"/>
    <s v="Mercedes"/>
    <x v="6"/>
    <x v="72"/>
    <x v="2"/>
    <x v="0"/>
    <x v="100"/>
    <s v="N"/>
    <s v="Y"/>
    <s v="N"/>
  </r>
  <r>
    <s v="A10469"/>
    <x v="193"/>
    <s v="Subaru"/>
    <x v="6"/>
    <x v="14"/>
    <x v="0"/>
    <x v="1"/>
    <x v="148"/>
    <s v="Y"/>
    <s v="Y"/>
    <s v="Y"/>
  </r>
  <r>
    <s v="A10470"/>
    <x v="72"/>
    <s v="Kia"/>
    <x v="6"/>
    <x v="40"/>
    <x v="1"/>
    <x v="0"/>
    <x v="129"/>
    <s v="N"/>
    <s v="Y"/>
    <s v="N"/>
  </r>
  <r>
    <s v="A10471"/>
    <x v="194"/>
    <s v="Toyota"/>
    <x v="6"/>
    <x v="78"/>
    <x v="2"/>
    <x v="1"/>
    <x v="37"/>
    <s v="N"/>
    <s v="Y"/>
    <s v="N"/>
  </r>
  <r>
    <s v="A10472"/>
    <x v="142"/>
    <s v="Honda"/>
    <x v="6"/>
    <x v="7"/>
    <x v="3"/>
    <x v="0"/>
    <x v="149"/>
    <s v="N"/>
    <s v="Y"/>
    <s v="N"/>
  </r>
  <r>
    <s v="A10473"/>
    <x v="133"/>
    <s v="Ford"/>
    <x v="6"/>
    <x v="50"/>
    <x v="0"/>
    <x v="2"/>
    <x v="22"/>
    <s v="Y"/>
    <s v="Y"/>
    <s v="N"/>
  </r>
  <r>
    <s v="A10474"/>
    <x v="139"/>
    <s v="Chevrolet"/>
    <x v="6"/>
    <x v="17"/>
    <x v="1"/>
    <x v="0"/>
    <x v="150"/>
    <s v="N"/>
    <s v="N"/>
    <s v="Y"/>
  </r>
  <r>
    <s v="A10475"/>
    <x v="211"/>
    <s v="BMW"/>
    <x v="6"/>
    <x v="79"/>
    <x v="2"/>
    <x v="1"/>
    <x v="151"/>
    <s v="N"/>
    <s v="Y"/>
    <s v="N"/>
  </r>
  <r>
    <s v="A10476"/>
    <x v="203"/>
    <s v="Nissan"/>
    <x v="6"/>
    <x v="27"/>
    <x v="3"/>
    <x v="0"/>
    <x v="115"/>
    <s v="N"/>
    <s v="Y"/>
    <s v="N"/>
  </r>
  <r>
    <s v="A10477"/>
    <x v="212"/>
    <s v="Jeep"/>
    <x v="6"/>
    <x v="80"/>
    <x v="0"/>
    <x v="1"/>
    <x v="34"/>
    <s v="N"/>
    <s v="Y"/>
    <s v="N"/>
  </r>
  <r>
    <s v="A10478"/>
    <x v="213"/>
    <s v="Mercedes"/>
    <x v="6"/>
    <x v="3"/>
    <x v="1"/>
    <x v="0"/>
    <x v="103"/>
    <s v="Y"/>
    <s v="Y"/>
    <s v="N"/>
  </r>
  <r>
    <s v="A10479"/>
    <x v="83"/>
    <s v="Subaru"/>
    <x v="6"/>
    <x v="73"/>
    <x v="2"/>
    <x v="2"/>
    <x v="54"/>
    <s v="N"/>
    <s v="Y"/>
    <s v="N"/>
  </r>
  <r>
    <s v="A10480"/>
    <x v="214"/>
    <s v="Kia"/>
    <x v="6"/>
    <x v="32"/>
    <x v="3"/>
    <x v="0"/>
    <x v="133"/>
    <s v="Y"/>
    <s v="N"/>
    <s v="N"/>
  </r>
  <r>
    <s v="A10481"/>
    <x v="188"/>
    <s v="Toyota"/>
    <x v="6"/>
    <x v="23"/>
    <x v="0"/>
    <x v="0"/>
    <x v="43"/>
    <s v="N"/>
    <s v="Y"/>
    <s v="N"/>
  </r>
  <r>
    <s v="A10482"/>
    <x v="189"/>
    <s v="Honda"/>
    <x v="6"/>
    <x v="30"/>
    <x v="1"/>
    <x v="1"/>
    <x v="152"/>
    <s v="N"/>
    <s v="Y"/>
    <s v="Y"/>
  </r>
  <r>
    <s v="A10483"/>
    <x v="45"/>
    <s v="Ford"/>
    <x v="6"/>
    <x v="8"/>
    <x v="2"/>
    <x v="0"/>
    <x v="138"/>
    <s v="Y"/>
    <s v="N"/>
    <s v="N"/>
  </r>
  <r>
    <s v="A10484"/>
    <x v="76"/>
    <s v="Chevrolet"/>
    <x v="6"/>
    <x v="74"/>
    <x v="3"/>
    <x v="2"/>
    <x v="124"/>
    <s v="N"/>
    <s v="Y"/>
    <s v="N"/>
  </r>
  <r>
    <s v="A10485"/>
    <x v="190"/>
    <s v="BMW"/>
    <x v="6"/>
    <x v="43"/>
    <x v="0"/>
    <x v="0"/>
    <x v="138"/>
    <s v="N"/>
    <s v="Y"/>
    <s v="N"/>
  </r>
  <r>
    <s v="A10486"/>
    <x v="61"/>
    <s v="Nissan"/>
    <x v="6"/>
    <x v="80"/>
    <x v="1"/>
    <x v="1"/>
    <x v="34"/>
    <s v="N"/>
    <s v="Y"/>
    <s v="N"/>
  </r>
  <r>
    <s v="A10487"/>
    <x v="191"/>
    <s v="Jeep"/>
    <x v="6"/>
    <x v="18"/>
    <x v="3"/>
    <x v="0"/>
    <x v="118"/>
    <s v="Y"/>
    <s v="N"/>
    <s v="N"/>
  </r>
  <r>
    <s v="A10488"/>
    <x v="192"/>
    <s v="Mercedes"/>
    <x v="6"/>
    <x v="75"/>
    <x v="2"/>
    <x v="0"/>
    <x v="106"/>
    <s v="N"/>
    <s v="Y"/>
    <s v="N"/>
  </r>
  <r>
    <s v="A10489"/>
    <x v="193"/>
    <s v="Subaru"/>
    <x v="6"/>
    <x v="34"/>
    <x v="0"/>
    <x v="1"/>
    <x v="29"/>
    <s v="N"/>
    <s v="Y"/>
    <s v="N"/>
  </r>
  <r>
    <s v="A10490"/>
    <x v="72"/>
    <s v="Kia"/>
    <x v="6"/>
    <x v="42"/>
    <x v="1"/>
    <x v="0"/>
    <x v="133"/>
    <s v="Y"/>
    <s v="Y"/>
    <s v="Y"/>
  </r>
  <r>
    <s v="A10491"/>
    <x v="194"/>
    <s v="Toyota"/>
    <x v="6"/>
    <x v="81"/>
    <x v="2"/>
    <x v="1"/>
    <x v="30"/>
    <s v="N"/>
    <s v="Y"/>
    <s v="N"/>
  </r>
  <r>
    <s v="A10492"/>
    <x v="142"/>
    <s v="Honda"/>
    <x v="6"/>
    <x v="38"/>
    <x v="3"/>
    <x v="0"/>
    <x v="153"/>
    <s v="N"/>
    <s v="Y"/>
    <s v="N"/>
  </r>
  <r>
    <s v="A10493"/>
    <x v="133"/>
    <s v="Ford"/>
    <x v="6"/>
    <x v="25"/>
    <x v="0"/>
    <x v="2"/>
    <x v="31"/>
    <s v="Y"/>
    <s v="Y"/>
    <s v="N"/>
  </r>
  <r>
    <s v="A10494"/>
    <x v="139"/>
    <s v="Chevrolet"/>
    <x v="6"/>
    <x v="28"/>
    <x v="1"/>
    <x v="0"/>
    <x v="154"/>
    <s v="N"/>
    <s v="N"/>
    <s v="Y"/>
  </r>
  <r>
    <s v="A10495"/>
    <x v="211"/>
    <s v="BMW"/>
    <x v="6"/>
    <x v="82"/>
    <x v="2"/>
    <x v="1"/>
    <x v="155"/>
    <s v="N"/>
    <s v="Y"/>
    <s v="N"/>
  </r>
  <r>
    <s v="A10496"/>
    <x v="203"/>
    <s v="Nissan"/>
    <x v="6"/>
    <x v="3"/>
    <x v="3"/>
    <x v="0"/>
    <x v="123"/>
    <s v="N"/>
    <s v="Y"/>
    <s v="N"/>
  </r>
  <r>
    <s v="A10497"/>
    <x v="212"/>
    <s v="Jeep"/>
    <x v="6"/>
    <x v="83"/>
    <x v="0"/>
    <x v="1"/>
    <x v="84"/>
    <s v="N"/>
    <s v="Y"/>
    <s v="N"/>
  </r>
  <r>
    <s v="A10498"/>
    <x v="213"/>
    <s v="Mercedes"/>
    <x v="6"/>
    <x v="41"/>
    <x v="1"/>
    <x v="0"/>
    <x v="109"/>
    <s v="Y"/>
    <s v="Y"/>
    <s v="N"/>
  </r>
  <r>
    <s v="A10499"/>
    <x v="83"/>
    <s v="Subaru"/>
    <x v="6"/>
    <x v="76"/>
    <x v="2"/>
    <x v="2"/>
    <x v="74"/>
    <s v="N"/>
    <s v="Y"/>
    <s v="N"/>
  </r>
  <r>
    <s v="A10500"/>
    <x v="214"/>
    <s v="Kia"/>
    <x v="6"/>
    <x v="46"/>
    <x v="3"/>
    <x v="0"/>
    <x v="143"/>
    <s v="Y"/>
    <s v="N"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B2DCD-30E7-5648-A4A9-45F62B98FAFB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58:Q65" firstHeaderRow="1" firstDataRow="1" firstDataCol="1"/>
  <pivotFields count="14">
    <pivotField showAll="0"/>
    <pivotField axis="axisRow" dataField="1" numFmtId="14" showAll="0">
      <items count="216">
        <item x="207"/>
        <item x="98"/>
        <item x="10"/>
        <item x="170"/>
        <item x="122"/>
        <item x="160"/>
        <item x="135"/>
        <item x="211"/>
        <item x="190"/>
        <item x="22"/>
        <item x="92"/>
        <item x="130"/>
        <item x="41"/>
        <item x="146"/>
        <item x="104"/>
        <item x="78"/>
        <item x="176"/>
        <item x="147"/>
        <item x="61"/>
        <item x="208"/>
        <item x="30"/>
        <item x="46"/>
        <item x="209"/>
        <item x="21"/>
        <item x="153"/>
        <item x="81"/>
        <item x="177"/>
        <item x="191"/>
        <item x="172"/>
        <item x="15"/>
        <item x="53"/>
        <item x="156"/>
        <item x="165"/>
        <item x="123"/>
        <item x="203"/>
        <item x="5"/>
        <item x="131"/>
        <item x="16"/>
        <item x="54"/>
        <item x="27"/>
        <item x="40"/>
        <item x="60"/>
        <item x="93"/>
        <item x="77"/>
        <item x="212"/>
        <item x="109"/>
        <item x="34"/>
        <item x="148"/>
        <item x="119"/>
        <item x="136"/>
        <item x="192"/>
        <item x="9"/>
        <item x="88"/>
        <item x="47"/>
        <item x="124"/>
        <item x="210"/>
        <item x="23"/>
        <item x="149"/>
        <item x="213"/>
        <item x="42"/>
        <item x="197"/>
        <item x="110"/>
        <item x="105"/>
        <item x="71"/>
        <item x="178"/>
        <item x="89"/>
        <item x="193"/>
        <item x="11"/>
        <item x="141"/>
        <item x="65"/>
        <item x="94"/>
        <item x="82"/>
        <item x="200"/>
        <item x="6"/>
        <item x="28"/>
        <item x="166"/>
        <item x="151"/>
        <item x="132"/>
        <item x="48"/>
        <item x="201"/>
        <item x="4"/>
        <item x="125"/>
        <item x="29"/>
        <item x="66"/>
        <item x="95"/>
        <item x="83"/>
        <item x="17"/>
        <item x="116"/>
        <item x="35"/>
        <item x="99"/>
        <item x="55"/>
        <item x="111"/>
        <item x="198"/>
        <item x="179"/>
        <item x="72"/>
        <item x="12"/>
        <item x="167"/>
        <item x="214"/>
        <item x="67"/>
        <item x="102"/>
        <item x="84"/>
        <item x="106"/>
        <item x="173"/>
        <item x="100"/>
        <item x="24"/>
        <item x="117"/>
        <item x="56"/>
        <item x="112"/>
        <item x="43"/>
        <item x="73"/>
        <item x="180"/>
        <item x="1"/>
        <item x="194"/>
        <item x="126"/>
        <item x="49"/>
        <item x="96"/>
        <item x="204"/>
        <item x="113"/>
        <item x="62"/>
        <item x="79"/>
        <item x="181"/>
        <item x="37"/>
        <item x="195"/>
        <item x="18"/>
        <item x="97"/>
        <item x="127"/>
        <item x="8"/>
        <item x="120"/>
        <item x="50"/>
        <item x="31"/>
        <item x="161"/>
        <item x="103"/>
        <item x="68"/>
        <item x="85"/>
        <item x="3"/>
        <item x="137"/>
        <item x="142"/>
        <item x="128"/>
        <item x="44"/>
        <item x="25"/>
        <item x="57"/>
        <item x="36"/>
        <item x="74"/>
        <item x="90"/>
        <item x="182"/>
        <item x="174"/>
        <item x="101"/>
        <item x="188"/>
        <item x="152"/>
        <item x="63"/>
        <item x="13"/>
        <item x="107"/>
        <item x="157"/>
        <item x="183"/>
        <item x="162"/>
        <item x="196"/>
        <item x="7"/>
        <item x="185"/>
        <item x="189"/>
        <item x="51"/>
        <item x="168"/>
        <item x="32"/>
        <item x="138"/>
        <item x="69"/>
        <item x="143"/>
        <item x="86"/>
        <item x="118"/>
        <item x="38"/>
        <item x="133"/>
        <item x="129"/>
        <item x="19"/>
        <item x="121"/>
        <item x="114"/>
        <item x="14"/>
        <item x="58"/>
        <item x="108"/>
        <item x="75"/>
        <item x="64"/>
        <item x="80"/>
        <item x="91"/>
        <item x="0"/>
        <item x="163"/>
        <item x="45"/>
        <item x="150"/>
        <item x="158"/>
        <item x="26"/>
        <item x="154"/>
        <item x="202"/>
        <item x="139"/>
        <item x="205"/>
        <item x="144"/>
        <item x="52"/>
        <item x="169"/>
        <item x="33"/>
        <item x="70"/>
        <item x="87"/>
        <item x="20"/>
        <item x="140"/>
        <item x="155"/>
        <item x="145"/>
        <item x="2"/>
        <item x="206"/>
        <item x="159"/>
        <item x="199"/>
        <item x="134"/>
        <item x="115"/>
        <item x="59"/>
        <item x="76"/>
        <item x="39"/>
        <item x="175"/>
        <item x="164"/>
        <item x="186"/>
        <item x="187"/>
        <item x="184"/>
        <item x="171"/>
        <item t="default"/>
      </items>
    </pivotField>
    <pivotField showAll="0"/>
    <pivotField showAll="0">
      <items count="13">
        <item x="8"/>
        <item x="7"/>
        <item x="5"/>
        <item x="1"/>
        <item x="9"/>
        <item x="10"/>
        <item x="3"/>
        <item x="11"/>
        <item x="0"/>
        <item x="4"/>
        <item x="2"/>
        <item x="6"/>
        <item t="default"/>
      </items>
    </pivotField>
    <pivotField showAll="0"/>
    <pivotField showAll="0"/>
    <pivotField showAll="0"/>
    <pivotField numFmtId="6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x="2"/>
        <item sd="0" x="3"/>
        <item t="default"/>
      </items>
    </pivotField>
  </pivotFields>
  <rowFields count="4">
    <field x="13"/>
    <field x="12"/>
    <field x="11"/>
    <field x="1"/>
  </rowFields>
  <rowItems count="7">
    <i>
      <x v="1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Expiry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3BDA2-3FE9-5446-9642-F7BF24A391C9}" name="PivotTable5" cacheId="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P50" firstHeaderRow="0" firstDataRow="0" firstDataCol="0"/>
  <pivotFields count="14">
    <pivotField showAll="0"/>
    <pivotField numFmtId="14" showAll="0">
      <items count="216">
        <item x="207"/>
        <item x="98"/>
        <item x="10"/>
        <item x="170"/>
        <item x="122"/>
        <item x="160"/>
        <item x="135"/>
        <item x="211"/>
        <item x="190"/>
        <item x="22"/>
        <item x="92"/>
        <item x="130"/>
        <item x="41"/>
        <item x="146"/>
        <item x="104"/>
        <item x="78"/>
        <item x="176"/>
        <item x="147"/>
        <item x="61"/>
        <item x="208"/>
        <item x="30"/>
        <item x="46"/>
        <item x="209"/>
        <item x="21"/>
        <item x="153"/>
        <item x="81"/>
        <item x="177"/>
        <item x="191"/>
        <item x="172"/>
        <item x="15"/>
        <item x="53"/>
        <item x="156"/>
        <item x="165"/>
        <item x="123"/>
        <item x="203"/>
        <item x="5"/>
        <item x="131"/>
        <item x="16"/>
        <item x="54"/>
        <item x="27"/>
        <item x="40"/>
        <item x="60"/>
        <item x="93"/>
        <item x="77"/>
        <item x="212"/>
        <item x="109"/>
        <item x="34"/>
        <item x="148"/>
        <item x="119"/>
        <item x="136"/>
        <item x="192"/>
        <item x="9"/>
        <item x="88"/>
        <item x="47"/>
        <item x="124"/>
        <item x="210"/>
        <item x="23"/>
        <item x="149"/>
        <item x="213"/>
        <item x="42"/>
        <item x="197"/>
        <item x="110"/>
        <item x="105"/>
        <item x="71"/>
        <item x="178"/>
        <item x="89"/>
        <item x="193"/>
        <item x="11"/>
        <item x="141"/>
        <item x="65"/>
        <item x="94"/>
        <item x="82"/>
        <item x="200"/>
        <item x="6"/>
        <item x="28"/>
        <item x="166"/>
        <item x="151"/>
        <item x="132"/>
        <item x="48"/>
        <item x="201"/>
        <item x="4"/>
        <item x="125"/>
        <item x="29"/>
        <item x="66"/>
        <item x="95"/>
        <item x="83"/>
        <item x="17"/>
        <item x="116"/>
        <item x="35"/>
        <item x="99"/>
        <item x="55"/>
        <item x="111"/>
        <item x="198"/>
        <item x="179"/>
        <item x="72"/>
        <item x="12"/>
        <item x="167"/>
        <item x="214"/>
        <item x="67"/>
        <item x="102"/>
        <item x="84"/>
        <item x="106"/>
        <item x="173"/>
        <item x="100"/>
        <item x="24"/>
        <item x="117"/>
        <item x="56"/>
        <item x="112"/>
        <item x="43"/>
        <item x="73"/>
        <item x="180"/>
        <item x="1"/>
        <item x="194"/>
        <item x="126"/>
        <item x="49"/>
        <item x="96"/>
        <item x="204"/>
        <item x="113"/>
        <item x="62"/>
        <item x="79"/>
        <item x="181"/>
        <item x="37"/>
        <item x="195"/>
        <item x="18"/>
        <item x="97"/>
        <item x="127"/>
        <item x="8"/>
        <item x="120"/>
        <item x="50"/>
        <item x="31"/>
        <item x="161"/>
        <item x="103"/>
        <item x="68"/>
        <item x="85"/>
        <item x="3"/>
        <item x="137"/>
        <item x="142"/>
        <item x="128"/>
        <item x="44"/>
        <item x="25"/>
        <item x="57"/>
        <item x="36"/>
        <item x="74"/>
        <item x="90"/>
        <item x="182"/>
        <item x="174"/>
        <item x="101"/>
        <item x="188"/>
        <item x="152"/>
        <item x="63"/>
        <item x="13"/>
        <item x="107"/>
        <item x="157"/>
        <item x="183"/>
        <item x="162"/>
        <item x="196"/>
        <item x="7"/>
        <item x="185"/>
        <item x="189"/>
        <item x="51"/>
        <item x="168"/>
        <item x="32"/>
        <item x="138"/>
        <item x="69"/>
        <item x="143"/>
        <item x="86"/>
        <item x="118"/>
        <item x="38"/>
        <item x="133"/>
        <item x="129"/>
        <item x="19"/>
        <item x="121"/>
        <item x="114"/>
        <item x="14"/>
        <item x="58"/>
        <item x="108"/>
        <item x="75"/>
        <item x="64"/>
        <item x="80"/>
        <item x="91"/>
        <item x="0"/>
        <item x="163"/>
        <item x="45"/>
        <item x="150"/>
        <item x="158"/>
        <item x="26"/>
        <item x="154"/>
        <item x="202"/>
        <item x="139"/>
        <item x="205"/>
        <item x="144"/>
        <item x="52"/>
        <item x="169"/>
        <item x="33"/>
        <item x="70"/>
        <item x="87"/>
        <item x="20"/>
        <item x="140"/>
        <item x="155"/>
        <item x="145"/>
        <item x="2"/>
        <item x="206"/>
        <item x="159"/>
        <item x="199"/>
        <item x="134"/>
        <item x="115"/>
        <item x="59"/>
        <item x="76"/>
        <item x="39"/>
        <item x="175"/>
        <item x="164"/>
        <item x="186"/>
        <item x="187"/>
        <item x="184"/>
        <item x="171"/>
        <item t="default"/>
      </items>
    </pivotField>
    <pivotField showAll="0"/>
    <pivotField axis="axisRow" showAll="0">
      <items count="13">
        <item x="8"/>
        <item x="7"/>
        <item x="5"/>
        <item x="1"/>
        <item x="9"/>
        <item x="10"/>
        <item x="3"/>
        <item x="11"/>
        <item x="0"/>
        <item x="4"/>
        <item x="2"/>
        <item x="6"/>
        <item t="default"/>
      </items>
    </pivotField>
    <pivotField showAll="0"/>
    <pivotField showAll="0"/>
    <pivotField showAll="0"/>
    <pivotField dataField="1" numFmtId="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AnnualPremium" fld="7" subtotal="average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2FFBE-C337-F145-8016-CBAA60265F06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37:Q47" firstHeaderRow="1" firstDataRow="1" firstDataCol="1"/>
  <pivotFields count="14">
    <pivotField showAll="0"/>
    <pivotField numFmtId="14" showAll="0">
      <items count="216">
        <item x="207"/>
        <item x="98"/>
        <item x="10"/>
        <item x="170"/>
        <item x="122"/>
        <item x="160"/>
        <item x="135"/>
        <item x="211"/>
        <item x="190"/>
        <item x="22"/>
        <item x="92"/>
        <item x="130"/>
        <item x="41"/>
        <item x="146"/>
        <item x="104"/>
        <item x="78"/>
        <item x="176"/>
        <item x="147"/>
        <item x="61"/>
        <item x="208"/>
        <item x="30"/>
        <item x="46"/>
        <item x="209"/>
        <item x="21"/>
        <item x="153"/>
        <item x="81"/>
        <item x="177"/>
        <item x="191"/>
        <item x="172"/>
        <item x="15"/>
        <item x="53"/>
        <item x="156"/>
        <item x="165"/>
        <item x="123"/>
        <item x="203"/>
        <item x="5"/>
        <item x="131"/>
        <item x="16"/>
        <item x="54"/>
        <item x="27"/>
        <item x="40"/>
        <item x="60"/>
        <item x="93"/>
        <item x="77"/>
        <item x="212"/>
        <item x="109"/>
        <item x="34"/>
        <item x="148"/>
        <item x="119"/>
        <item x="136"/>
        <item x="192"/>
        <item x="9"/>
        <item x="88"/>
        <item x="47"/>
        <item x="124"/>
        <item x="210"/>
        <item x="23"/>
        <item x="149"/>
        <item x="213"/>
        <item x="42"/>
        <item x="197"/>
        <item x="110"/>
        <item x="105"/>
        <item x="71"/>
        <item x="178"/>
        <item x="89"/>
        <item x="193"/>
        <item x="11"/>
        <item x="141"/>
        <item x="65"/>
        <item x="94"/>
        <item x="82"/>
        <item x="200"/>
        <item x="6"/>
        <item x="28"/>
        <item x="166"/>
        <item x="151"/>
        <item x="132"/>
        <item x="48"/>
        <item x="201"/>
        <item x="4"/>
        <item x="125"/>
        <item x="29"/>
        <item x="66"/>
        <item x="95"/>
        <item x="83"/>
        <item x="17"/>
        <item x="116"/>
        <item x="35"/>
        <item x="99"/>
        <item x="55"/>
        <item x="111"/>
        <item x="198"/>
        <item x="179"/>
        <item x="72"/>
        <item x="12"/>
        <item x="167"/>
        <item x="214"/>
        <item x="67"/>
        <item x="102"/>
        <item x="84"/>
        <item x="106"/>
        <item x="173"/>
        <item x="100"/>
        <item x="24"/>
        <item x="117"/>
        <item x="56"/>
        <item x="112"/>
        <item x="43"/>
        <item x="73"/>
        <item x="180"/>
        <item x="1"/>
        <item x="194"/>
        <item x="126"/>
        <item x="49"/>
        <item x="96"/>
        <item x="204"/>
        <item x="113"/>
        <item x="62"/>
        <item x="79"/>
        <item x="181"/>
        <item x="37"/>
        <item x="195"/>
        <item x="18"/>
        <item x="97"/>
        <item x="127"/>
        <item x="8"/>
        <item x="120"/>
        <item x="50"/>
        <item x="31"/>
        <item x="161"/>
        <item x="103"/>
        <item x="68"/>
        <item x="85"/>
        <item x="3"/>
        <item x="137"/>
        <item x="142"/>
        <item x="128"/>
        <item x="44"/>
        <item x="25"/>
        <item x="57"/>
        <item x="36"/>
        <item x="74"/>
        <item x="90"/>
        <item x="182"/>
        <item x="174"/>
        <item x="101"/>
        <item x="188"/>
        <item x="152"/>
        <item x="63"/>
        <item x="13"/>
        <item x="107"/>
        <item x="157"/>
        <item x="183"/>
        <item x="162"/>
        <item x="196"/>
        <item x="7"/>
        <item x="185"/>
        <item x="189"/>
        <item x="51"/>
        <item x="168"/>
        <item x="32"/>
        <item x="138"/>
        <item x="69"/>
        <item x="143"/>
        <item x="86"/>
        <item x="118"/>
        <item x="38"/>
        <item x="133"/>
        <item x="129"/>
        <item x="19"/>
        <item x="121"/>
        <item x="114"/>
        <item x="14"/>
        <item x="58"/>
        <item x="108"/>
        <item x="75"/>
        <item x="64"/>
        <item x="80"/>
        <item x="91"/>
        <item x="0"/>
        <item x="163"/>
        <item x="45"/>
        <item x="150"/>
        <item x="158"/>
        <item x="26"/>
        <item x="154"/>
        <item x="202"/>
        <item x="139"/>
        <item x="205"/>
        <item x="144"/>
        <item x="52"/>
        <item x="169"/>
        <item x="33"/>
        <item x="70"/>
        <item x="87"/>
        <item x="20"/>
        <item x="140"/>
        <item x="155"/>
        <item x="145"/>
        <item x="2"/>
        <item x="206"/>
        <item x="159"/>
        <item x="199"/>
        <item x="134"/>
        <item x="115"/>
        <item x="59"/>
        <item x="76"/>
        <item x="39"/>
        <item x="175"/>
        <item x="164"/>
        <item x="186"/>
        <item x="187"/>
        <item x="184"/>
        <item x="171"/>
        <item t="default"/>
      </items>
    </pivotField>
    <pivotField showAll="0"/>
    <pivotField showAll="0">
      <items count="13">
        <item x="8"/>
        <item x="7"/>
        <item x="5"/>
        <item x="1"/>
        <item x="9"/>
        <item x="10"/>
        <item x="3"/>
        <item x="11"/>
        <item x="0"/>
        <item x="4"/>
        <item x="2"/>
        <item x="6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numFmtId="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AnnualPremium" fld="7" subtotal="average" baseField="0" baseItem="0" numFmtId="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B57EA-B2DE-964A-9762-9BA42765DF19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8:T34" firstHeaderRow="1" firstDataRow="2" firstDataCol="1"/>
  <pivotFields count="14">
    <pivotField showAll="0"/>
    <pivotField numFmtId="14" showAll="0">
      <items count="216">
        <item x="207"/>
        <item x="98"/>
        <item x="10"/>
        <item x="170"/>
        <item x="122"/>
        <item x="160"/>
        <item x="135"/>
        <item x="211"/>
        <item x="190"/>
        <item x="22"/>
        <item x="92"/>
        <item x="130"/>
        <item x="41"/>
        <item x="146"/>
        <item x="104"/>
        <item x="78"/>
        <item x="176"/>
        <item x="147"/>
        <item x="61"/>
        <item x="208"/>
        <item x="30"/>
        <item x="46"/>
        <item x="209"/>
        <item x="21"/>
        <item x="153"/>
        <item x="81"/>
        <item x="177"/>
        <item x="191"/>
        <item x="172"/>
        <item x="15"/>
        <item x="53"/>
        <item x="156"/>
        <item x="165"/>
        <item x="123"/>
        <item x="203"/>
        <item x="5"/>
        <item x="131"/>
        <item x="16"/>
        <item x="54"/>
        <item x="27"/>
        <item x="40"/>
        <item x="60"/>
        <item x="93"/>
        <item x="77"/>
        <item x="212"/>
        <item x="109"/>
        <item x="34"/>
        <item x="148"/>
        <item x="119"/>
        <item x="136"/>
        <item x="192"/>
        <item x="9"/>
        <item x="88"/>
        <item x="47"/>
        <item x="124"/>
        <item x="210"/>
        <item x="23"/>
        <item x="149"/>
        <item x="213"/>
        <item x="42"/>
        <item x="197"/>
        <item x="110"/>
        <item x="105"/>
        <item x="71"/>
        <item x="178"/>
        <item x="89"/>
        <item x="193"/>
        <item x="11"/>
        <item x="141"/>
        <item x="65"/>
        <item x="94"/>
        <item x="82"/>
        <item x="200"/>
        <item x="6"/>
        <item x="28"/>
        <item x="166"/>
        <item x="151"/>
        <item x="132"/>
        <item x="48"/>
        <item x="201"/>
        <item x="4"/>
        <item x="125"/>
        <item x="29"/>
        <item x="66"/>
        <item x="95"/>
        <item x="83"/>
        <item x="17"/>
        <item x="116"/>
        <item x="35"/>
        <item x="99"/>
        <item x="55"/>
        <item x="111"/>
        <item x="198"/>
        <item x="179"/>
        <item x="72"/>
        <item x="12"/>
        <item x="167"/>
        <item x="214"/>
        <item x="67"/>
        <item x="102"/>
        <item x="84"/>
        <item x="106"/>
        <item x="173"/>
        <item x="100"/>
        <item x="24"/>
        <item x="117"/>
        <item x="56"/>
        <item x="112"/>
        <item x="43"/>
        <item x="73"/>
        <item x="180"/>
        <item x="1"/>
        <item x="194"/>
        <item x="126"/>
        <item x="49"/>
        <item x="96"/>
        <item x="204"/>
        <item x="113"/>
        <item x="62"/>
        <item x="79"/>
        <item x="181"/>
        <item x="37"/>
        <item x="195"/>
        <item x="18"/>
        <item x="97"/>
        <item x="127"/>
        <item x="8"/>
        <item x="120"/>
        <item x="50"/>
        <item x="31"/>
        <item x="161"/>
        <item x="103"/>
        <item x="68"/>
        <item x="85"/>
        <item x="3"/>
        <item x="137"/>
        <item x="142"/>
        <item x="128"/>
        <item x="44"/>
        <item x="25"/>
        <item x="57"/>
        <item x="36"/>
        <item x="74"/>
        <item x="90"/>
        <item x="182"/>
        <item x="174"/>
        <item x="101"/>
        <item x="188"/>
        <item x="152"/>
        <item x="63"/>
        <item x="13"/>
        <item x="107"/>
        <item x="157"/>
        <item x="183"/>
        <item x="162"/>
        <item x="196"/>
        <item x="7"/>
        <item x="185"/>
        <item x="189"/>
        <item x="51"/>
        <item x="168"/>
        <item x="32"/>
        <item x="138"/>
        <item x="69"/>
        <item x="143"/>
        <item x="86"/>
        <item x="118"/>
        <item x="38"/>
        <item x="133"/>
        <item x="129"/>
        <item x="19"/>
        <item x="121"/>
        <item x="114"/>
        <item x="14"/>
        <item x="58"/>
        <item x="108"/>
        <item x="75"/>
        <item x="64"/>
        <item x="80"/>
        <item x="91"/>
        <item x="0"/>
        <item x="163"/>
        <item x="45"/>
        <item x="150"/>
        <item x="158"/>
        <item x="26"/>
        <item x="154"/>
        <item x="202"/>
        <item x="139"/>
        <item x="205"/>
        <item x="144"/>
        <item x="52"/>
        <item x="169"/>
        <item x="33"/>
        <item x="70"/>
        <item x="87"/>
        <item x="20"/>
        <item x="140"/>
        <item x="155"/>
        <item x="145"/>
        <item x="2"/>
        <item x="206"/>
        <item x="159"/>
        <item x="199"/>
        <item x="134"/>
        <item x="115"/>
        <item x="59"/>
        <item x="76"/>
        <item x="39"/>
        <item x="175"/>
        <item x="164"/>
        <item x="186"/>
        <item x="187"/>
        <item x="184"/>
        <item x="171"/>
        <item t="default"/>
      </items>
    </pivotField>
    <pivotField showAll="0"/>
    <pivotField showAll="0">
      <items count="13">
        <item x="8"/>
        <item x="7"/>
        <item x="5"/>
        <item x="1"/>
        <item x="9"/>
        <item x="10"/>
        <item x="3"/>
        <item x="11"/>
        <item x="0"/>
        <item x="4"/>
        <item x="2"/>
        <item x="6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numFmtId="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AnnualPremium" fld="7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CD13E-3608-684B-8CF4-25C379BE3959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P21:Q25" firstHeaderRow="1" firstDataRow="1" firstDataCol="1"/>
  <pivotFields count="14">
    <pivotField showAll="0"/>
    <pivotField numFmtId="14" showAll="0">
      <items count="216">
        <item x="207"/>
        <item x="98"/>
        <item x="10"/>
        <item x="170"/>
        <item x="122"/>
        <item x="160"/>
        <item x="135"/>
        <item x="211"/>
        <item x="190"/>
        <item x="22"/>
        <item x="92"/>
        <item x="130"/>
        <item x="41"/>
        <item x="146"/>
        <item x="104"/>
        <item x="78"/>
        <item x="176"/>
        <item x="147"/>
        <item x="61"/>
        <item x="208"/>
        <item x="30"/>
        <item x="46"/>
        <item x="209"/>
        <item x="21"/>
        <item x="153"/>
        <item x="81"/>
        <item x="177"/>
        <item x="191"/>
        <item x="172"/>
        <item x="15"/>
        <item x="53"/>
        <item x="156"/>
        <item x="165"/>
        <item x="123"/>
        <item x="203"/>
        <item x="5"/>
        <item x="131"/>
        <item x="16"/>
        <item x="54"/>
        <item x="27"/>
        <item x="40"/>
        <item x="60"/>
        <item x="93"/>
        <item x="77"/>
        <item x="212"/>
        <item x="109"/>
        <item x="34"/>
        <item x="148"/>
        <item x="119"/>
        <item x="136"/>
        <item x="192"/>
        <item x="9"/>
        <item x="88"/>
        <item x="47"/>
        <item x="124"/>
        <item x="210"/>
        <item x="23"/>
        <item x="149"/>
        <item x="213"/>
        <item x="42"/>
        <item x="197"/>
        <item x="110"/>
        <item x="105"/>
        <item x="71"/>
        <item x="178"/>
        <item x="89"/>
        <item x="193"/>
        <item x="11"/>
        <item x="141"/>
        <item x="65"/>
        <item x="94"/>
        <item x="82"/>
        <item x="200"/>
        <item x="6"/>
        <item x="28"/>
        <item x="166"/>
        <item x="151"/>
        <item x="132"/>
        <item x="48"/>
        <item x="201"/>
        <item x="4"/>
        <item x="125"/>
        <item x="29"/>
        <item x="66"/>
        <item x="95"/>
        <item x="83"/>
        <item x="17"/>
        <item x="116"/>
        <item x="35"/>
        <item x="99"/>
        <item x="55"/>
        <item x="111"/>
        <item x="198"/>
        <item x="179"/>
        <item x="72"/>
        <item x="12"/>
        <item x="167"/>
        <item x="214"/>
        <item x="67"/>
        <item x="102"/>
        <item x="84"/>
        <item x="106"/>
        <item x="173"/>
        <item x="100"/>
        <item x="24"/>
        <item x="117"/>
        <item x="56"/>
        <item x="112"/>
        <item x="43"/>
        <item x="73"/>
        <item x="180"/>
        <item x="1"/>
        <item x="194"/>
        <item x="126"/>
        <item x="49"/>
        <item x="96"/>
        <item x="204"/>
        <item x="113"/>
        <item x="62"/>
        <item x="79"/>
        <item x="181"/>
        <item x="37"/>
        <item x="195"/>
        <item x="18"/>
        <item x="97"/>
        <item x="127"/>
        <item x="8"/>
        <item x="120"/>
        <item x="50"/>
        <item x="31"/>
        <item x="161"/>
        <item x="103"/>
        <item x="68"/>
        <item x="85"/>
        <item x="3"/>
        <item x="137"/>
        <item x="142"/>
        <item x="128"/>
        <item x="44"/>
        <item x="25"/>
        <item x="57"/>
        <item x="36"/>
        <item x="74"/>
        <item x="90"/>
        <item x="182"/>
        <item x="174"/>
        <item x="101"/>
        <item x="188"/>
        <item x="152"/>
        <item x="63"/>
        <item x="13"/>
        <item x="107"/>
        <item x="157"/>
        <item x="183"/>
        <item x="162"/>
        <item x="196"/>
        <item x="7"/>
        <item x="185"/>
        <item x="189"/>
        <item x="51"/>
        <item x="168"/>
        <item x="32"/>
        <item x="138"/>
        <item x="69"/>
        <item x="143"/>
        <item x="86"/>
        <item x="118"/>
        <item x="38"/>
        <item x="133"/>
        <item x="129"/>
        <item x="19"/>
        <item x="121"/>
        <item x="114"/>
        <item x="14"/>
        <item x="58"/>
        <item x="108"/>
        <item x="75"/>
        <item x="64"/>
        <item x="80"/>
        <item x="91"/>
        <item x="0"/>
        <item x="163"/>
        <item x="45"/>
        <item x="150"/>
        <item x="158"/>
        <item x="26"/>
        <item x="154"/>
        <item x="202"/>
        <item x="139"/>
        <item x="205"/>
        <item x="144"/>
        <item x="52"/>
        <item x="169"/>
        <item x="33"/>
        <item x="70"/>
        <item x="87"/>
        <item x="20"/>
        <item x="140"/>
        <item x="155"/>
        <item x="145"/>
        <item x="2"/>
        <item x="206"/>
        <item x="159"/>
        <item x="199"/>
        <item x="134"/>
        <item x="115"/>
        <item x="59"/>
        <item x="76"/>
        <item x="39"/>
        <item x="175"/>
        <item x="164"/>
        <item x="186"/>
        <item x="187"/>
        <item x="184"/>
        <item x="171"/>
        <item t="default"/>
      </items>
    </pivotField>
    <pivotField showAll="0"/>
    <pivotField showAll="0">
      <items count="13">
        <item x="8"/>
        <item x="7"/>
        <item x="5"/>
        <item x="1"/>
        <item x="9"/>
        <item x="10"/>
        <item x="3"/>
        <item x="11"/>
        <item x="0"/>
        <item x="4"/>
        <item x="2"/>
        <item x="6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dataField="1" numFmtId="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Premium" fld="7" baseField="0" baseItem="0" numFmtId="6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E980C-8448-6A4B-9CBF-16753DFC9F55}" name="PivotTable1" cacheId="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B18:C23" firstHeaderRow="1" firstDataRow="1" firstDataCol="1"/>
  <pivotFields count="14">
    <pivotField showAll="0"/>
    <pivotField numFmtId="14" showAll="0">
      <items count="216">
        <item x="207"/>
        <item x="98"/>
        <item x="10"/>
        <item x="170"/>
        <item x="122"/>
        <item x="160"/>
        <item x="135"/>
        <item x="211"/>
        <item x="190"/>
        <item x="22"/>
        <item x="92"/>
        <item x="130"/>
        <item x="41"/>
        <item x="146"/>
        <item x="104"/>
        <item x="78"/>
        <item x="176"/>
        <item x="147"/>
        <item x="61"/>
        <item x="208"/>
        <item x="30"/>
        <item x="46"/>
        <item x="209"/>
        <item x="21"/>
        <item x="153"/>
        <item x="81"/>
        <item x="177"/>
        <item x="191"/>
        <item x="172"/>
        <item x="15"/>
        <item x="53"/>
        <item x="156"/>
        <item x="165"/>
        <item x="123"/>
        <item x="203"/>
        <item x="5"/>
        <item x="131"/>
        <item x="16"/>
        <item x="54"/>
        <item x="27"/>
        <item x="40"/>
        <item x="60"/>
        <item x="93"/>
        <item x="77"/>
        <item x="212"/>
        <item x="109"/>
        <item x="34"/>
        <item x="148"/>
        <item x="119"/>
        <item x="136"/>
        <item x="192"/>
        <item x="9"/>
        <item x="88"/>
        <item x="47"/>
        <item x="124"/>
        <item x="210"/>
        <item x="23"/>
        <item x="149"/>
        <item x="213"/>
        <item x="42"/>
        <item x="197"/>
        <item x="110"/>
        <item x="105"/>
        <item x="71"/>
        <item x="178"/>
        <item x="89"/>
        <item x="193"/>
        <item x="11"/>
        <item x="141"/>
        <item x="65"/>
        <item x="94"/>
        <item x="82"/>
        <item x="200"/>
        <item x="6"/>
        <item x="28"/>
        <item x="166"/>
        <item x="151"/>
        <item x="132"/>
        <item x="48"/>
        <item x="201"/>
        <item x="4"/>
        <item x="125"/>
        <item x="29"/>
        <item x="66"/>
        <item x="95"/>
        <item x="83"/>
        <item x="17"/>
        <item x="116"/>
        <item x="35"/>
        <item x="99"/>
        <item x="55"/>
        <item x="111"/>
        <item x="198"/>
        <item x="179"/>
        <item x="72"/>
        <item x="12"/>
        <item x="167"/>
        <item x="214"/>
        <item x="67"/>
        <item x="102"/>
        <item x="84"/>
        <item x="106"/>
        <item x="173"/>
        <item x="100"/>
        <item x="24"/>
        <item x="117"/>
        <item x="56"/>
        <item x="112"/>
        <item x="43"/>
        <item x="73"/>
        <item x="180"/>
        <item x="1"/>
        <item x="194"/>
        <item x="126"/>
        <item x="49"/>
        <item x="96"/>
        <item x="204"/>
        <item x="113"/>
        <item x="62"/>
        <item x="79"/>
        <item x="181"/>
        <item x="37"/>
        <item x="195"/>
        <item x="18"/>
        <item x="97"/>
        <item x="127"/>
        <item x="8"/>
        <item x="120"/>
        <item x="50"/>
        <item x="31"/>
        <item x="161"/>
        <item x="103"/>
        <item x="68"/>
        <item x="85"/>
        <item x="3"/>
        <item x="137"/>
        <item x="142"/>
        <item x="128"/>
        <item x="44"/>
        <item x="25"/>
        <item x="57"/>
        <item x="36"/>
        <item x="74"/>
        <item x="90"/>
        <item x="182"/>
        <item x="174"/>
        <item x="101"/>
        <item x="188"/>
        <item x="152"/>
        <item x="63"/>
        <item x="13"/>
        <item x="107"/>
        <item x="157"/>
        <item x="183"/>
        <item x="162"/>
        <item x="196"/>
        <item x="7"/>
        <item x="185"/>
        <item x="189"/>
        <item x="51"/>
        <item x="168"/>
        <item x="32"/>
        <item x="138"/>
        <item x="69"/>
        <item x="143"/>
        <item x="86"/>
        <item x="118"/>
        <item x="38"/>
        <item x="133"/>
        <item x="129"/>
        <item x="19"/>
        <item x="121"/>
        <item x="114"/>
        <item x="14"/>
        <item x="58"/>
        <item x="108"/>
        <item x="75"/>
        <item x="64"/>
        <item x="80"/>
        <item x="91"/>
        <item x="0"/>
        <item x="163"/>
        <item x="45"/>
        <item x="150"/>
        <item x="158"/>
        <item x="26"/>
        <item x="154"/>
        <item x="202"/>
        <item x="139"/>
        <item x="205"/>
        <item x="144"/>
        <item x="52"/>
        <item x="169"/>
        <item x="33"/>
        <item x="70"/>
        <item x="87"/>
        <item x="20"/>
        <item x="140"/>
        <item x="155"/>
        <item x="145"/>
        <item x="2"/>
        <item x="206"/>
        <item x="159"/>
        <item x="199"/>
        <item x="134"/>
        <item x="115"/>
        <item x="59"/>
        <item x="76"/>
        <item x="39"/>
        <item x="175"/>
        <item x="164"/>
        <item x="186"/>
        <item x="187"/>
        <item x="184"/>
        <item x="171"/>
        <item t="default"/>
      </items>
    </pivotField>
    <pivotField showAll="0"/>
    <pivotField showAll="0">
      <items count="13">
        <item x="8"/>
        <item x="7"/>
        <item x="5"/>
        <item x="1"/>
        <item x="9"/>
        <item x="10"/>
        <item x="3"/>
        <item x="11"/>
        <item x="0"/>
        <item x="4"/>
        <item x="2"/>
        <item x="6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numFmtId="6" showAll="0">
      <items count="157">
        <item x="28"/>
        <item x="41"/>
        <item x="53"/>
        <item x="10"/>
        <item x="63"/>
        <item x="32"/>
        <item x="72"/>
        <item x="46"/>
        <item x="16"/>
        <item x="82"/>
        <item x="39"/>
        <item x="56"/>
        <item x="5"/>
        <item x="51"/>
        <item x="66"/>
        <item x="24"/>
        <item x="60"/>
        <item x="70"/>
        <item x="86"/>
        <item x="81"/>
        <item x="107"/>
        <item x="88"/>
        <item x="36"/>
        <item x="1"/>
        <item x="49"/>
        <item x="40"/>
        <item x="21"/>
        <item x="52"/>
        <item x="8"/>
        <item x="62"/>
        <item x="26"/>
        <item x="44"/>
        <item x="93"/>
        <item x="71"/>
        <item x="55"/>
        <item x="14"/>
        <item x="65"/>
        <item x="23"/>
        <item x="95"/>
        <item x="3"/>
        <item x="125"/>
        <item x="69"/>
        <item x="37"/>
        <item x="80"/>
        <item x="79"/>
        <item x="30"/>
        <item x="75"/>
        <item x="94"/>
        <item x="12"/>
        <item x="101"/>
        <item x="42"/>
        <item x="91"/>
        <item x="73"/>
        <item x="98"/>
        <item x="18"/>
        <item x="131"/>
        <item x="110"/>
        <item x="77"/>
        <item x="113"/>
        <item x="34"/>
        <item x="104"/>
        <item x="139"/>
        <item x="84"/>
        <item x="120"/>
        <item x="47"/>
        <item x="121"/>
        <item x="126"/>
        <item x="89"/>
        <item x="127"/>
        <item x="57"/>
        <item x="152"/>
        <item x="0"/>
        <item x="96"/>
        <item x="135"/>
        <item x="67"/>
        <item x="140"/>
        <item x="136"/>
        <item x="116"/>
        <item x="20"/>
        <item x="141"/>
        <item x="119"/>
        <item x="144"/>
        <item x="11"/>
        <item x="124"/>
        <item x="148"/>
        <item x="130"/>
        <item x="29"/>
        <item x="134"/>
        <item x="7"/>
        <item x="68"/>
        <item x="25"/>
        <item x="147"/>
        <item x="76"/>
        <item x="151"/>
        <item x="17"/>
        <item x="155"/>
        <item x="83"/>
        <item x="33"/>
        <item x="87"/>
        <item x="61"/>
        <item x="92"/>
        <item x="45"/>
        <item x="99"/>
        <item x="15"/>
        <item x="102"/>
        <item x="6"/>
        <item x="105"/>
        <item x="4"/>
        <item x="108"/>
        <item x="38"/>
        <item x="111"/>
        <item x="50"/>
        <item x="59"/>
        <item x="114"/>
        <item x="27"/>
        <item x="117"/>
        <item x="9"/>
        <item x="122"/>
        <item x="35"/>
        <item x="128"/>
        <item x="19"/>
        <item x="132"/>
        <item x="48"/>
        <item x="58"/>
        <item x="2"/>
        <item x="22"/>
        <item x="137"/>
        <item x="13"/>
        <item x="142"/>
        <item x="31"/>
        <item x="145"/>
        <item x="43"/>
        <item x="149"/>
        <item x="54"/>
        <item x="153"/>
        <item x="64"/>
        <item x="74"/>
        <item x="78"/>
        <item x="85"/>
        <item x="90"/>
        <item x="97"/>
        <item x="100"/>
        <item x="103"/>
        <item x="106"/>
        <item x="109"/>
        <item x="112"/>
        <item x="115"/>
        <item x="118"/>
        <item x="123"/>
        <item x="129"/>
        <item x="133"/>
        <item x="138"/>
        <item x="143"/>
        <item x="146"/>
        <item x="150"/>
        <item x="154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Premium" fld="7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B8605-9626-DE45-A333-57BA5E7C514E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N12:P17" firstHeaderRow="0" firstDataRow="1" firstDataCol="1"/>
  <pivotFields count="14">
    <pivotField showAll="0"/>
    <pivotField numFmtId="14" showAll="0">
      <items count="216">
        <item x="207"/>
        <item x="98"/>
        <item x="10"/>
        <item x="170"/>
        <item x="122"/>
        <item x="160"/>
        <item x="135"/>
        <item x="211"/>
        <item x="190"/>
        <item x="22"/>
        <item x="92"/>
        <item x="130"/>
        <item x="41"/>
        <item x="146"/>
        <item x="104"/>
        <item x="78"/>
        <item x="176"/>
        <item x="147"/>
        <item x="61"/>
        <item x="208"/>
        <item x="30"/>
        <item x="46"/>
        <item x="209"/>
        <item x="21"/>
        <item x="153"/>
        <item x="81"/>
        <item x="177"/>
        <item x="191"/>
        <item x="172"/>
        <item x="15"/>
        <item x="53"/>
        <item x="156"/>
        <item x="165"/>
        <item x="123"/>
        <item x="203"/>
        <item x="5"/>
        <item x="131"/>
        <item x="16"/>
        <item x="54"/>
        <item x="27"/>
        <item x="40"/>
        <item x="60"/>
        <item x="93"/>
        <item x="77"/>
        <item x="212"/>
        <item x="109"/>
        <item x="34"/>
        <item x="148"/>
        <item x="119"/>
        <item x="136"/>
        <item x="192"/>
        <item x="9"/>
        <item x="88"/>
        <item x="47"/>
        <item x="124"/>
        <item x="210"/>
        <item x="23"/>
        <item x="149"/>
        <item x="213"/>
        <item x="42"/>
        <item x="197"/>
        <item x="110"/>
        <item x="105"/>
        <item x="71"/>
        <item x="178"/>
        <item x="89"/>
        <item x="193"/>
        <item x="11"/>
        <item x="141"/>
        <item x="65"/>
        <item x="94"/>
        <item x="82"/>
        <item x="200"/>
        <item x="6"/>
        <item x="28"/>
        <item x="166"/>
        <item x="151"/>
        <item x="132"/>
        <item x="48"/>
        <item x="201"/>
        <item x="4"/>
        <item x="125"/>
        <item x="29"/>
        <item x="66"/>
        <item x="95"/>
        <item x="83"/>
        <item x="17"/>
        <item x="116"/>
        <item x="35"/>
        <item x="99"/>
        <item x="55"/>
        <item x="111"/>
        <item x="198"/>
        <item x="179"/>
        <item x="72"/>
        <item x="12"/>
        <item x="167"/>
        <item x="214"/>
        <item x="67"/>
        <item x="102"/>
        <item x="84"/>
        <item x="106"/>
        <item x="173"/>
        <item x="100"/>
        <item x="24"/>
        <item x="117"/>
        <item x="56"/>
        <item x="112"/>
        <item x="43"/>
        <item x="73"/>
        <item x="180"/>
        <item x="1"/>
        <item x="194"/>
        <item x="126"/>
        <item x="49"/>
        <item x="96"/>
        <item x="204"/>
        <item x="113"/>
        <item x="62"/>
        <item x="79"/>
        <item x="181"/>
        <item x="37"/>
        <item x="195"/>
        <item x="18"/>
        <item x="97"/>
        <item x="127"/>
        <item x="8"/>
        <item x="120"/>
        <item x="50"/>
        <item x="31"/>
        <item x="161"/>
        <item x="103"/>
        <item x="68"/>
        <item x="85"/>
        <item x="3"/>
        <item x="137"/>
        <item x="142"/>
        <item x="128"/>
        <item x="44"/>
        <item x="25"/>
        <item x="57"/>
        <item x="36"/>
        <item x="74"/>
        <item x="90"/>
        <item x="182"/>
        <item x="174"/>
        <item x="101"/>
        <item x="188"/>
        <item x="152"/>
        <item x="63"/>
        <item x="13"/>
        <item x="107"/>
        <item x="157"/>
        <item x="183"/>
        <item x="162"/>
        <item x="196"/>
        <item x="7"/>
        <item x="185"/>
        <item x="189"/>
        <item x="51"/>
        <item x="168"/>
        <item x="32"/>
        <item x="138"/>
        <item x="69"/>
        <item x="143"/>
        <item x="86"/>
        <item x="118"/>
        <item x="38"/>
        <item x="133"/>
        <item x="129"/>
        <item x="19"/>
        <item x="121"/>
        <item x="114"/>
        <item x="14"/>
        <item x="58"/>
        <item x="108"/>
        <item x="75"/>
        <item x="64"/>
        <item x="80"/>
        <item x="91"/>
        <item x="0"/>
        <item x="163"/>
        <item x="45"/>
        <item x="150"/>
        <item x="158"/>
        <item x="26"/>
        <item x="154"/>
        <item x="202"/>
        <item x="139"/>
        <item x="205"/>
        <item x="144"/>
        <item x="52"/>
        <item x="169"/>
        <item x="33"/>
        <item x="70"/>
        <item x="87"/>
        <item x="20"/>
        <item x="140"/>
        <item x="155"/>
        <item x="145"/>
        <item x="2"/>
        <item x="206"/>
        <item x="159"/>
        <item x="199"/>
        <item x="134"/>
        <item x="115"/>
        <item x="59"/>
        <item x="76"/>
        <item x="39"/>
        <item x="175"/>
        <item x="164"/>
        <item x="186"/>
        <item x="187"/>
        <item x="184"/>
        <item x="171"/>
        <item t="default"/>
      </items>
    </pivotField>
    <pivotField showAll="0"/>
    <pivotField showAll="0">
      <items count="13">
        <item x="8"/>
        <item x="7"/>
        <item x="5"/>
        <item x="1"/>
        <item x="9"/>
        <item x="10"/>
        <item x="3"/>
        <item x="11"/>
        <item x="0"/>
        <item x="4"/>
        <item x="2"/>
        <item x="6"/>
        <item t="default"/>
      </items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numFmtId="6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nnualPremium" fld="7" baseField="0" baseItem="0" numFmtId="6"/>
    <dataField name="Average of AnnualPremium2" fld="7" subtotal="average" baseField="0" baseItem="0" numFmtId="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13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10B130-B716-4823-9E66-45721873AED4}" name="PolicyData" displayName="PolicyData" ref="A1:M501" totalsRowShown="0" headerRowDxfId="49" dataDxfId="48" headerRowCellStyle="Normal">
  <autoFilter ref="A1:M501" xr:uid="{6410B130-B716-4823-9E66-45721873AED4}"/>
  <tableColumns count="13">
    <tableColumn id="1" xr3:uid="{E8972066-447B-4BD4-96EB-4C25B7A583A4}" name="PolicyID" dataDxfId="47"/>
    <tableColumn id="3" xr3:uid="{371C8F3C-74A1-43D2-87E3-6BA0596BC6E9}" name="ExpiryDate" dataDxfId="46"/>
    <tableColumn id="4" xr3:uid="{F605174B-C105-491C-8800-128EE9A40511}" name="VehicleMake" dataDxfId="45"/>
    <tableColumn id="5" xr3:uid="{054A96DB-95B0-49D0-8320-F8FA1145AA81}" name="VehicleYear" dataDxfId="44"/>
    <tableColumn id="6" xr3:uid="{4D35CA15-53C8-419C-806B-D1C95AE4A2F3}" name="DriverAge" dataDxfId="43"/>
    <tableColumn id="7" xr3:uid="{74AE79CB-4170-41CD-860C-5743F7858046}" name="Region" dataDxfId="42" dataCellStyle="Currency"/>
    <tableColumn id="8" xr3:uid="{58E4AA35-3C93-4D05-902A-3EC1978AD466}" name="CoverageType" dataDxfId="41"/>
    <tableColumn id="9" xr3:uid="{FF52AE2B-551F-41AA-8214-9D33156CAC85}" name="AnnualPremium" dataDxfId="40"/>
    <tableColumn id="10" xr3:uid="{AD25EF71-7401-4E88-A138-AD6E65D50343}" name="ClaimFiled_Last5Yrs" dataDxfId="39"/>
    <tableColumn id="11" xr3:uid="{4CBF9AF3-B8A6-466A-8D1D-3984BF769063}" name="AntiTheftDevice" dataDxfId="38"/>
    <tableColumn id="2" xr3:uid="{BF02D863-54BF-4763-B5D9-B3B044168889}" name="Accident_Last3Yrs" dataDxfId="37"/>
    <tableColumn id="12" xr3:uid="{DFF6A0BE-147E-8348-9518-1AAC4FE0A1E9}" name="ClaimFiled_Last5Yrs_Dummy" dataDxfId="36">
      <calculatedColumnFormula>IF(PolicyData[[#This Row],[ClaimFiled_Last5Yrs]]="Y",1,0)</calculatedColumnFormula>
    </tableColumn>
    <tableColumn id="13" xr3:uid="{A4EEB30D-1551-464C-87F9-7D327B3AA0B2}" name="Region_East_dummy" dataDxfId="35">
      <calculatedColumnFormula>IF(PolicyData[[#This Row],[Region]]="EAST",1,0)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B5D613-BAB4-41BA-861E-1CF6ADA20F7A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510171763442513495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843D-456B-4658-8FBD-C7359707051E}">
  <dimension ref="B2:C19"/>
  <sheetViews>
    <sheetView topLeftCell="A3" zoomScale="126" workbookViewId="0">
      <selection activeCell="G11" sqref="G11"/>
    </sheetView>
  </sheetViews>
  <sheetFormatPr baseColWidth="10" defaultColWidth="8.6640625" defaultRowHeight="15" x14ac:dyDescent="0.2"/>
  <cols>
    <col min="1" max="1" width="2.6640625" style="2" customWidth="1"/>
    <col min="2" max="3" width="4.6640625" style="2" customWidth="1"/>
    <col min="4" max="16384" width="8.6640625" style="2"/>
  </cols>
  <sheetData>
    <row r="2" spans="2:3" ht="21" x14ac:dyDescent="0.25">
      <c r="B2" s="63" t="s">
        <v>2</v>
      </c>
    </row>
    <row r="4" spans="2:3" ht="19" x14ac:dyDescent="0.25">
      <c r="B4" s="1" t="s">
        <v>0</v>
      </c>
    </row>
    <row r="5" spans="2:3" ht="16" x14ac:dyDescent="0.2">
      <c r="B5" s="3" t="s">
        <v>3</v>
      </c>
    </row>
    <row r="6" spans="2:3" x14ac:dyDescent="0.2">
      <c r="B6" s="2" t="s">
        <v>55</v>
      </c>
    </row>
    <row r="7" spans="2:3" x14ac:dyDescent="0.2">
      <c r="C7" s="2" t="s">
        <v>844</v>
      </c>
    </row>
    <row r="8" spans="2:3" x14ac:dyDescent="0.2">
      <c r="C8" s="2" t="s">
        <v>4</v>
      </c>
    </row>
    <row r="9" spans="2:3" x14ac:dyDescent="0.2">
      <c r="C9" s="2" t="s">
        <v>5</v>
      </c>
    </row>
    <row r="10" spans="2:3" x14ac:dyDescent="0.2">
      <c r="C10" s="2" t="s">
        <v>6</v>
      </c>
    </row>
    <row r="11" spans="2:3" x14ac:dyDescent="0.2">
      <c r="C11" s="4"/>
    </row>
    <row r="12" spans="2:3" ht="19" x14ac:dyDescent="0.25">
      <c r="B12" s="1" t="s">
        <v>1</v>
      </c>
    </row>
    <row r="13" spans="2:3" x14ac:dyDescent="0.2">
      <c r="C13" s="2" t="s">
        <v>7</v>
      </c>
    </row>
    <row r="14" spans="2:3" x14ac:dyDescent="0.2">
      <c r="C14" s="2" t="s">
        <v>838</v>
      </c>
    </row>
    <row r="15" spans="2:3" x14ac:dyDescent="0.2">
      <c r="C15" s="2" t="s">
        <v>839</v>
      </c>
    </row>
    <row r="16" spans="2:3" x14ac:dyDescent="0.2">
      <c r="C16" s="2" t="s">
        <v>840</v>
      </c>
    </row>
    <row r="17" spans="3:3" x14ac:dyDescent="0.2">
      <c r="C17" s="2" t="s">
        <v>841</v>
      </c>
    </row>
    <row r="18" spans="3:3" x14ac:dyDescent="0.2">
      <c r="C18" s="2" t="s">
        <v>842</v>
      </c>
    </row>
    <row r="19" spans="3:3" x14ac:dyDescent="0.2">
      <c r="C19" s="2" t="s">
        <v>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6107-CCE6-40CB-84FF-A6A45B689816}">
  <dimension ref="A2:P66"/>
  <sheetViews>
    <sheetView zoomScale="115" zoomScaleNormal="115" workbookViewId="0">
      <selection activeCell="H63" sqref="H63"/>
    </sheetView>
  </sheetViews>
  <sheetFormatPr baseColWidth="10" defaultColWidth="8.83203125" defaultRowHeight="15" x14ac:dyDescent="0.2"/>
  <cols>
    <col min="1" max="1" width="2.6640625" style="6" customWidth="1"/>
    <col min="2" max="2" width="12.1640625" style="6" customWidth="1"/>
    <col min="3" max="3" width="15" style="6" customWidth="1"/>
    <col min="4" max="4" width="7.6640625" style="6" customWidth="1"/>
    <col min="5" max="5" width="10.83203125" style="6" customWidth="1"/>
    <col min="6" max="6" width="15.83203125" style="6" customWidth="1"/>
    <col min="7" max="7" width="7.6640625" style="6" customWidth="1"/>
    <col min="8" max="8" width="15.1640625" style="6" customWidth="1"/>
    <col min="9" max="9" width="4.5" style="6" customWidth="1"/>
    <col min="10" max="10" width="11.33203125" style="6" customWidth="1"/>
    <col min="11" max="12" width="10.83203125" style="6" customWidth="1"/>
    <col min="13" max="13" width="11.1640625" style="6" customWidth="1"/>
    <col min="14" max="14" width="10.33203125" style="6" customWidth="1"/>
    <col min="15" max="15" width="14.1640625" style="6" customWidth="1"/>
    <col min="16" max="16" width="15.1640625" style="6" customWidth="1"/>
    <col min="17" max="16381" width="8.6640625" style="6"/>
    <col min="16382" max="16383" width="8.6640625" style="6" customWidth="1"/>
    <col min="16384" max="16384" width="8.6640625" style="6"/>
  </cols>
  <sheetData>
    <row r="2" spans="2:15" ht="21" x14ac:dyDescent="0.2">
      <c r="B2" s="64" t="s">
        <v>136</v>
      </c>
    </row>
    <row r="3" spans="2:15" ht="16" thickBot="1" x14ac:dyDescent="0.25"/>
    <row r="4" spans="2:15" x14ac:dyDescent="0.2">
      <c r="B4" s="253" t="s">
        <v>8</v>
      </c>
      <c r="C4" s="254"/>
      <c r="D4" s="254"/>
      <c r="E4" s="254"/>
      <c r="F4" s="254"/>
      <c r="G4" s="254"/>
      <c r="H4" s="255"/>
    </row>
    <row r="5" spans="2:15" ht="16" thickBot="1" x14ac:dyDescent="0.25">
      <c r="B5" s="256" t="s">
        <v>9</v>
      </c>
      <c r="C5" s="257"/>
      <c r="D5" s="257"/>
      <c r="E5" s="257" t="s">
        <v>10</v>
      </c>
      <c r="F5" s="257"/>
      <c r="G5" s="257" t="s">
        <v>11</v>
      </c>
      <c r="H5" s="258"/>
    </row>
    <row r="6" spans="2:15" ht="15" customHeight="1" thickBot="1" x14ac:dyDescent="0.25">
      <c r="B6" s="280" t="s">
        <v>12</v>
      </c>
      <c r="C6" s="281"/>
      <c r="D6" s="282"/>
      <c r="E6" s="286" t="s">
        <v>13</v>
      </c>
      <c r="F6" s="287"/>
      <c r="G6" s="290" t="s">
        <v>14</v>
      </c>
      <c r="H6" s="291"/>
      <c r="J6" s="5" t="s">
        <v>56</v>
      </c>
      <c r="M6" s="7" t="s">
        <v>869</v>
      </c>
    </row>
    <row r="7" spans="2:15" x14ac:dyDescent="0.2">
      <c r="B7" s="283"/>
      <c r="C7" s="284"/>
      <c r="D7" s="285"/>
      <c r="E7" s="288"/>
      <c r="F7" s="289"/>
      <c r="G7" s="292"/>
      <c r="H7" s="293"/>
    </row>
    <row r="8" spans="2:15" x14ac:dyDescent="0.2">
      <c r="B8" s="259" t="s">
        <v>15</v>
      </c>
      <c r="C8" s="260"/>
      <c r="D8" s="261"/>
      <c r="E8" s="265" t="s">
        <v>16</v>
      </c>
      <c r="F8" s="266"/>
      <c r="G8" s="269" t="s">
        <v>17</v>
      </c>
      <c r="H8" s="270"/>
      <c r="J8" s="8"/>
    </row>
    <row r="9" spans="2:15" x14ac:dyDescent="0.2">
      <c r="B9" s="262"/>
      <c r="C9" s="263"/>
      <c r="D9" s="264"/>
      <c r="E9" s="267"/>
      <c r="F9" s="268"/>
      <c r="G9" s="271"/>
      <c r="H9" s="272"/>
      <c r="O9" s="6">
        <v>1</v>
      </c>
    </row>
    <row r="10" spans="2:15" x14ac:dyDescent="0.2">
      <c r="B10" s="273" t="s">
        <v>18</v>
      </c>
      <c r="C10" s="274"/>
      <c r="D10" s="275"/>
      <c r="E10" s="276" t="s">
        <v>19</v>
      </c>
      <c r="F10" s="277"/>
      <c r="G10" s="278" t="s">
        <v>20</v>
      </c>
      <c r="H10" s="279"/>
      <c r="J10" s="5"/>
    </row>
    <row r="11" spans="2:15" ht="16" thickBot="1" x14ac:dyDescent="0.25">
      <c r="B11" s="252" t="s">
        <v>21</v>
      </c>
      <c r="C11" s="228"/>
      <c r="D11" s="229"/>
      <c r="E11" s="230" t="s">
        <v>22</v>
      </c>
      <c r="F11" s="231"/>
      <c r="G11" s="232" t="s">
        <v>23</v>
      </c>
      <c r="H11" s="233"/>
    </row>
    <row r="12" spans="2:15" ht="16" thickBot="1" x14ac:dyDescent="0.25"/>
    <row r="13" spans="2:15" x14ac:dyDescent="0.2">
      <c r="B13" s="253" t="s">
        <v>25</v>
      </c>
      <c r="C13" s="254"/>
      <c r="D13" s="254"/>
      <c r="E13" s="254"/>
      <c r="F13" s="254"/>
      <c r="G13" s="254"/>
      <c r="H13" s="255"/>
    </row>
    <row r="14" spans="2:15" x14ac:dyDescent="0.2">
      <c r="B14" s="256" t="s">
        <v>26</v>
      </c>
      <c r="C14" s="257"/>
      <c r="D14" s="257"/>
      <c r="E14" s="257" t="s">
        <v>27</v>
      </c>
      <c r="F14" s="257"/>
      <c r="G14" s="257" t="s">
        <v>28</v>
      </c>
      <c r="H14" s="258"/>
      <c r="J14" s="214" t="s">
        <v>62</v>
      </c>
      <c r="K14" s="214"/>
      <c r="L14" s="214"/>
      <c r="M14" s="214"/>
    </row>
    <row r="15" spans="2:15" ht="14.5" customHeight="1" x14ac:dyDescent="0.2">
      <c r="B15" s="243" t="s">
        <v>31</v>
      </c>
      <c r="C15" s="244"/>
      <c r="D15" s="245"/>
      <c r="E15" s="234" t="s">
        <v>29</v>
      </c>
      <c r="F15" s="235"/>
      <c r="G15" s="234" t="s">
        <v>30</v>
      </c>
      <c r="H15" s="240"/>
      <c r="J15" s="214"/>
      <c r="K15" s="214"/>
      <c r="L15" s="214"/>
      <c r="M15" s="214"/>
    </row>
    <row r="16" spans="2:15" x14ac:dyDescent="0.2">
      <c r="B16" s="246"/>
      <c r="C16" s="247"/>
      <c r="D16" s="248"/>
      <c r="E16" s="236"/>
      <c r="F16" s="237"/>
      <c r="G16" s="236"/>
      <c r="H16" s="241"/>
      <c r="J16" s="215" t="s">
        <v>58</v>
      </c>
      <c r="K16" s="215" t="s">
        <v>61</v>
      </c>
      <c r="L16" s="215" t="s">
        <v>60</v>
      </c>
      <c r="M16" s="215" t="s">
        <v>59</v>
      </c>
    </row>
    <row r="17" spans="1:16" ht="14.5" customHeight="1" thickBot="1" x14ac:dyDescent="0.25">
      <c r="B17" s="249"/>
      <c r="C17" s="250"/>
      <c r="D17" s="251"/>
      <c r="E17" s="238"/>
      <c r="F17" s="239"/>
      <c r="G17" s="238"/>
      <c r="H17" s="242"/>
      <c r="J17" s="215"/>
      <c r="K17" s="215"/>
      <c r="L17" s="215"/>
      <c r="M17" s="215"/>
    </row>
    <row r="18" spans="1:16" ht="16" thickBot="1" x14ac:dyDescent="0.25">
      <c r="B18" s="227" t="s">
        <v>32</v>
      </c>
      <c r="C18" s="228"/>
      <c r="D18" s="229"/>
      <c r="E18" s="230" t="s">
        <v>33</v>
      </c>
      <c r="F18" s="231"/>
      <c r="G18" s="232" t="s">
        <v>34</v>
      </c>
      <c r="H18" s="233"/>
      <c r="J18" s="50" t="b">
        <v>0</v>
      </c>
      <c r="K18" s="50" t="b">
        <v>0</v>
      </c>
      <c r="L18" s="50" t="b">
        <v>1</v>
      </c>
      <c r="M18" s="50" t="b">
        <v>0</v>
      </c>
    </row>
    <row r="19" spans="1:16" ht="16" thickBot="1" x14ac:dyDescent="0.25"/>
    <row r="20" spans="1:16" x14ac:dyDescent="0.2">
      <c r="B20" s="224" t="s">
        <v>35</v>
      </c>
      <c r="C20" s="225"/>
      <c r="D20" s="225"/>
      <c r="E20" s="225"/>
      <c r="F20" s="226"/>
    </row>
    <row r="21" spans="1:16" x14ac:dyDescent="0.2">
      <c r="A21" s="16"/>
      <c r="B21" s="213" t="s">
        <v>36</v>
      </c>
      <c r="C21" s="213"/>
      <c r="D21" s="213"/>
      <c r="E21" s="9" t="s">
        <v>24</v>
      </c>
      <c r="F21" s="19" t="s">
        <v>57</v>
      </c>
    </row>
    <row r="22" spans="1:16" x14ac:dyDescent="0.2">
      <c r="A22" s="16"/>
      <c r="B22" s="13" t="s">
        <v>37</v>
      </c>
      <c r="C22" s="216" t="s">
        <v>38</v>
      </c>
      <c r="D22" s="217"/>
      <c r="E22" s="10" t="s">
        <v>39</v>
      </c>
      <c r="F22" s="20" t="b">
        <f>F21=5</f>
        <v>0</v>
      </c>
    </row>
    <row r="23" spans="1:16" x14ac:dyDescent="0.2">
      <c r="A23" s="16"/>
      <c r="B23" s="14" t="s">
        <v>40</v>
      </c>
      <c r="C23" s="218" t="s">
        <v>41</v>
      </c>
      <c r="D23" s="219"/>
      <c r="E23" s="11" t="s">
        <v>42</v>
      </c>
      <c r="F23" s="21" t="b">
        <f>F21&lt;&gt;5</f>
        <v>1</v>
      </c>
    </row>
    <row r="24" spans="1:16" x14ac:dyDescent="0.2">
      <c r="A24" s="16"/>
      <c r="B24" s="15" t="s">
        <v>43</v>
      </c>
      <c r="C24" s="220" t="s">
        <v>44</v>
      </c>
      <c r="D24" s="221"/>
      <c r="E24" s="12" t="s">
        <v>45</v>
      </c>
      <c r="F24" s="22" t="b">
        <f>F21&gt;4</f>
        <v>1</v>
      </c>
    </row>
    <row r="25" spans="1:16" x14ac:dyDescent="0.2">
      <c r="A25" s="16"/>
      <c r="B25" s="14" t="s">
        <v>46</v>
      </c>
      <c r="C25" s="218" t="s">
        <v>47</v>
      </c>
      <c r="D25" s="219"/>
      <c r="E25" s="11" t="s">
        <v>48</v>
      </c>
      <c r="F25" s="23" t="b">
        <f>F21&lt;5</f>
        <v>0</v>
      </c>
    </row>
    <row r="26" spans="1:16" x14ac:dyDescent="0.2">
      <c r="A26" s="16"/>
      <c r="B26" s="13" t="s">
        <v>49</v>
      </c>
      <c r="C26" s="216" t="s">
        <v>50</v>
      </c>
      <c r="D26" s="217"/>
      <c r="E26" s="10" t="s">
        <v>51</v>
      </c>
      <c r="F26" s="24" t="b">
        <f>F21&gt;=5</f>
        <v>1</v>
      </c>
    </row>
    <row r="27" spans="1:16" ht="16" thickBot="1" x14ac:dyDescent="0.25">
      <c r="A27" s="16"/>
      <c r="B27" s="18" t="s">
        <v>52</v>
      </c>
      <c r="C27" s="222" t="s">
        <v>53</v>
      </c>
      <c r="D27" s="223"/>
      <c r="E27" s="17" t="s">
        <v>54</v>
      </c>
      <c r="F27" s="25" t="b">
        <f>F21&lt;=4</f>
        <v>0</v>
      </c>
    </row>
    <row r="28" spans="1:16" ht="16" thickBot="1" x14ac:dyDescent="0.25">
      <c r="B28" s="46"/>
      <c r="C28" s="46"/>
      <c r="D28" s="46"/>
      <c r="E28" s="46"/>
      <c r="F28" s="46"/>
      <c r="G28" s="46"/>
      <c r="H28" s="46"/>
      <c r="I28" s="46"/>
      <c r="J28" s="46"/>
    </row>
    <row r="29" spans="1:16" ht="25.5" customHeight="1" x14ac:dyDescent="0.2">
      <c r="B29" s="204" t="s">
        <v>64</v>
      </c>
      <c r="C29" s="205"/>
      <c r="D29" s="205"/>
      <c r="E29" s="205"/>
      <c r="F29" s="205"/>
      <c r="G29" s="205"/>
      <c r="H29" s="205"/>
      <c r="I29" s="205"/>
      <c r="J29" s="206"/>
      <c r="L29" s="31" t="s">
        <v>79</v>
      </c>
      <c r="M29" s="32" t="s">
        <v>80</v>
      </c>
      <c r="N29" s="32" t="s">
        <v>81</v>
      </c>
      <c r="O29" s="32" t="s">
        <v>83</v>
      </c>
      <c r="P29" s="33" t="s">
        <v>82</v>
      </c>
    </row>
    <row r="30" spans="1:16" ht="19.5" customHeight="1" x14ac:dyDescent="0.2">
      <c r="A30" s="16"/>
      <c r="B30" s="9" t="s">
        <v>63</v>
      </c>
      <c r="C30" s="213" t="s">
        <v>73</v>
      </c>
      <c r="D30" s="213"/>
      <c r="E30" s="213"/>
      <c r="F30" s="213"/>
      <c r="G30" s="207" t="s">
        <v>24</v>
      </c>
      <c r="H30" s="207"/>
      <c r="I30" s="207"/>
      <c r="J30" s="207"/>
      <c r="L30" s="34" t="s">
        <v>84</v>
      </c>
      <c r="M30" s="35">
        <v>2023</v>
      </c>
      <c r="N30" s="35">
        <v>35</v>
      </c>
      <c r="O30" s="43">
        <v>1320</v>
      </c>
      <c r="P30" s="36" t="s">
        <v>85</v>
      </c>
    </row>
    <row r="31" spans="1:16" ht="19.5" customHeight="1" x14ac:dyDescent="0.2">
      <c r="A31" s="16"/>
      <c r="B31" s="26" t="s">
        <v>65</v>
      </c>
      <c r="C31" s="198" t="s">
        <v>98</v>
      </c>
      <c r="D31" s="198"/>
      <c r="E31" s="198"/>
      <c r="F31" s="198"/>
      <c r="G31" s="208" t="s">
        <v>97</v>
      </c>
      <c r="H31" s="208"/>
      <c r="I31" s="208"/>
      <c r="J31" s="209"/>
      <c r="L31" s="37" t="s">
        <v>86</v>
      </c>
      <c r="M31" s="38">
        <v>2018</v>
      </c>
      <c r="N31" s="38">
        <v>48</v>
      </c>
      <c r="O31" s="38">
        <v>790</v>
      </c>
      <c r="P31" s="39" t="s">
        <v>87</v>
      </c>
    </row>
    <row r="32" spans="1:16" ht="20" customHeight="1" x14ac:dyDescent="0.2">
      <c r="A32" s="16"/>
      <c r="B32" s="29" t="s">
        <v>66</v>
      </c>
      <c r="C32" s="195" t="s">
        <v>104</v>
      </c>
      <c r="D32" s="195"/>
      <c r="E32" s="195"/>
      <c r="F32" s="195"/>
      <c r="G32" s="195" t="s">
        <v>105</v>
      </c>
      <c r="H32" s="195"/>
      <c r="I32" s="195"/>
      <c r="J32" s="210"/>
      <c r="L32" s="37" t="s">
        <v>88</v>
      </c>
      <c r="M32" s="38">
        <v>2025</v>
      </c>
      <c r="N32" s="38">
        <v>22</v>
      </c>
      <c r="O32" s="44">
        <v>2450</v>
      </c>
      <c r="P32" s="39" t="s">
        <v>85</v>
      </c>
    </row>
    <row r="33" spans="1:16" ht="20" customHeight="1" x14ac:dyDescent="0.2">
      <c r="A33" s="16"/>
      <c r="B33" s="27" t="s">
        <v>67</v>
      </c>
      <c r="C33" s="198" t="s">
        <v>74</v>
      </c>
      <c r="D33" s="198"/>
      <c r="E33" s="198"/>
      <c r="F33" s="198"/>
      <c r="G33" s="198" t="s">
        <v>99</v>
      </c>
      <c r="H33" s="198"/>
      <c r="I33" s="198"/>
      <c r="J33" s="199"/>
      <c r="L33" s="37" t="s">
        <v>89</v>
      </c>
      <c r="M33" s="38">
        <v>2021</v>
      </c>
      <c r="N33" s="38">
        <v>55</v>
      </c>
      <c r="O33" s="38">
        <v>980</v>
      </c>
      <c r="P33" s="39" t="s">
        <v>90</v>
      </c>
    </row>
    <row r="34" spans="1:16" ht="20" customHeight="1" x14ac:dyDescent="0.2">
      <c r="A34" s="16"/>
      <c r="B34" s="29" t="s">
        <v>69</v>
      </c>
      <c r="C34" s="195" t="s">
        <v>75</v>
      </c>
      <c r="D34" s="195"/>
      <c r="E34" s="195"/>
      <c r="F34" s="195"/>
      <c r="G34" s="195" t="s">
        <v>100</v>
      </c>
      <c r="H34" s="195"/>
      <c r="I34" s="195"/>
      <c r="J34" s="210"/>
      <c r="L34" s="37" t="s">
        <v>91</v>
      </c>
      <c r="M34" s="38">
        <v>2024</v>
      </c>
      <c r="N34" s="38">
        <v>41</v>
      </c>
      <c r="O34" s="44">
        <v>1950</v>
      </c>
      <c r="P34" s="39" t="s">
        <v>85</v>
      </c>
    </row>
    <row r="35" spans="1:16" ht="20" customHeight="1" x14ac:dyDescent="0.2">
      <c r="A35" s="16"/>
      <c r="B35" s="26" t="s">
        <v>68</v>
      </c>
      <c r="C35" s="198" t="s">
        <v>76</v>
      </c>
      <c r="D35" s="198"/>
      <c r="E35" s="198"/>
      <c r="F35" s="198"/>
      <c r="G35" s="198" t="s">
        <v>101</v>
      </c>
      <c r="H35" s="198"/>
      <c r="I35" s="198"/>
      <c r="J35" s="199"/>
      <c r="L35" s="37" t="s">
        <v>92</v>
      </c>
      <c r="M35" s="38">
        <v>2017</v>
      </c>
      <c r="N35" s="38">
        <v>62</v>
      </c>
      <c r="O35" s="44">
        <v>670</v>
      </c>
      <c r="P35" s="39" t="s">
        <v>87</v>
      </c>
    </row>
    <row r="36" spans="1:16" ht="20" customHeight="1" x14ac:dyDescent="0.2">
      <c r="A36" s="16"/>
      <c r="B36" s="29" t="s">
        <v>70</v>
      </c>
      <c r="C36" s="195" t="s">
        <v>77</v>
      </c>
      <c r="D36" s="195"/>
      <c r="E36" s="195"/>
      <c r="F36" s="195"/>
      <c r="G36" s="195" t="s">
        <v>102</v>
      </c>
      <c r="H36" s="196"/>
      <c r="I36" s="196"/>
      <c r="J36" s="197"/>
      <c r="L36" s="37" t="s">
        <v>93</v>
      </c>
      <c r="M36" s="38">
        <v>2014</v>
      </c>
      <c r="N36" s="38">
        <v>28</v>
      </c>
      <c r="O36" s="38">
        <v>920</v>
      </c>
      <c r="P36" s="39" t="s">
        <v>85</v>
      </c>
    </row>
    <row r="37" spans="1:16" ht="20" customHeight="1" x14ac:dyDescent="0.2">
      <c r="A37" s="16"/>
      <c r="B37" s="27" t="s">
        <v>71</v>
      </c>
      <c r="C37" s="47" t="s">
        <v>78</v>
      </c>
      <c r="D37" s="47"/>
      <c r="E37" s="48"/>
      <c r="F37" s="49"/>
      <c r="G37" s="198" t="s">
        <v>103</v>
      </c>
      <c r="H37" s="198"/>
      <c r="I37" s="198"/>
      <c r="J37" s="199"/>
      <c r="L37" s="37" t="s">
        <v>94</v>
      </c>
      <c r="M37" s="38">
        <v>2024</v>
      </c>
      <c r="N37" s="38">
        <v>51</v>
      </c>
      <c r="O37" s="44">
        <v>1550</v>
      </c>
      <c r="P37" s="39" t="s">
        <v>85</v>
      </c>
    </row>
    <row r="38" spans="1:16" ht="20" customHeight="1" x14ac:dyDescent="0.2">
      <c r="A38" s="16"/>
      <c r="B38" s="211" t="s">
        <v>72</v>
      </c>
      <c r="C38" s="200" t="s">
        <v>106</v>
      </c>
      <c r="D38" s="200"/>
      <c r="E38" s="200"/>
      <c r="F38" s="200"/>
      <c r="G38" s="200" t="s">
        <v>107</v>
      </c>
      <c r="H38" s="200"/>
      <c r="I38" s="200"/>
      <c r="J38" s="201"/>
      <c r="L38" s="37" t="s">
        <v>95</v>
      </c>
      <c r="M38" s="38">
        <v>2016</v>
      </c>
      <c r="N38" s="38">
        <v>39</v>
      </c>
      <c r="O38" s="38">
        <v>840</v>
      </c>
      <c r="P38" s="39" t="s">
        <v>87</v>
      </c>
    </row>
    <row r="39" spans="1:16" ht="20" customHeight="1" thickBot="1" x14ac:dyDescent="0.25">
      <c r="A39" s="16"/>
      <c r="B39" s="212"/>
      <c r="C39" s="202"/>
      <c r="D39" s="202"/>
      <c r="E39" s="202"/>
      <c r="F39" s="202"/>
      <c r="G39" s="202"/>
      <c r="H39" s="202"/>
      <c r="I39" s="202"/>
      <c r="J39" s="203"/>
      <c r="L39" s="40" t="s">
        <v>96</v>
      </c>
      <c r="M39" s="41">
        <v>2026</v>
      </c>
      <c r="N39" s="41">
        <v>25</v>
      </c>
      <c r="O39" s="45">
        <v>2200</v>
      </c>
      <c r="P39" s="42" t="s">
        <v>85</v>
      </c>
    </row>
    <row r="40" spans="1:16" x14ac:dyDescent="0.2">
      <c r="C40" s="28"/>
      <c r="D40" s="28"/>
      <c r="E40" s="28"/>
      <c r="F40" s="28"/>
      <c r="N40" s="30"/>
    </row>
    <row r="41" spans="1:16" ht="16" x14ac:dyDescent="0.2">
      <c r="B41" s="51" t="s">
        <v>109</v>
      </c>
      <c r="C41" s="51"/>
      <c r="D41" s="2"/>
      <c r="E41" s="2"/>
      <c r="F41" s="2"/>
      <c r="G41" s="2"/>
      <c r="H41" s="2"/>
    </row>
    <row r="42" spans="1:16" ht="16" thickBot="1" x14ac:dyDescent="0.25">
      <c r="B42" s="2"/>
      <c r="C42" s="2"/>
      <c r="D42" s="2"/>
      <c r="E42" s="2"/>
      <c r="F42" s="2"/>
      <c r="G42" s="2"/>
      <c r="H42" s="2"/>
    </row>
    <row r="43" spans="1:16" ht="16" thickBot="1" x14ac:dyDescent="0.25">
      <c r="B43" s="52" t="s">
        <v>108</v>
      </c>
      <c r="C43" s="2"/>
      <c r="D43" s="2"/>
      <c r="E43" s="2"/>
      <c r="F43" s="2"/>
      <c r="G43" s="2"/>
      <c r="H43" s="56">
        <f>SUM(O30:O39)</f>
        <v>13670</v>
      </c>
    </row>
    <row r="44" spans="1:16" ht="16" thickBot="1" x14ac:dyDescent="0.25">
      <c r="B44" s="2"/>
      <c r="C44" s="2"/>
      <c r="D44" s="2"/>
      <c r="E44" s="2"/>
      <c r="F44" s="2"/>
      <c r="G44" s="2"/>
    </row>
    <row r="45" spans="1:16" ht="14.5" customHeight="1" thickBot="1" x14ac:dyDescent="0.25">
      <c r="B45" s="194" t="s">
        <v>117</v>
      </c>
      <c r="C45" s="194"/>
      <c r="D45" s="194"/>
      <c r="E45" s="194"/>
      <c r="F45" s="54">
        <v>2.7182818284589998</v>
      </c>
      <c r="G45" s="2"/>
      <c r="H45" s="58">
        <f>ROUND(F45,3)</f>
        <v>2.718</v>
      </c>
      <c r="J45" s="57"/>
    </row>
    <row r="46" spans="1:16" ht="16" thickBot="1" x14ac:dyDescent="0.25">
      <c r="B46" s="55"/>
      <c r="C46" s="55"/>
      <c r="D46" s="55"/>
      <c r="E46" s="55"/>
      <c r="F46" s="55"/>
      <c r="G46" s="2"/>
      <c r="H46" s="53"/>
    </row>
    <row r="47" spans="1:16" ht="16" thickBot="1" x14ac:dyDescent="0.25">
      <c r="B47" s="193" t="s">
        <v>114</v>
      </c>
      <c r="C47" s="193"/>
      <c r="D47" s="193"/>
      <c r="E47" s="193"/>
      <c r="F47" s="193"/>
      <c r="G47" s="2"/>
      <c r="H47" s="58" t="str">
        <f>IF(N35&lt;40,"Young", "Older")</f>
        <v>Older</v>
      </c>
      <c r="J47" s="8"/>
    </row>
    <row r="48" spans="1:16" x14ac:dyDescent="0.2">
      <c r="B48" s="193"/>
      <c r="C48" s="193"/>
      <c r="D48" s="193"/>
      <c r="E48" s="193"/>
      <c r="F48" s="193"/>
      <c r="G48" s="2"/>
      <c r="H48" s="53"/>
    </row>
    <row r="49" spans="2:10" ht="16" thickBot="1" x14ac:dyDescent="0.25">
      <c r="B49" s="55"/>
      <c r="C49" s="55"/>
      <c r="D49" s="55"/>
      <c r="E49" s="55"/>
      <c r="F49" s="55"/>
      <c r="G49" s="2"/>
      <c r="H49" s="53"/>
    </row>
    <row r="50" spans="2:10" ht="16" thickBot="1" x14ac:dyDescent="0.25">
      <c r="B50" s="194" t="s">
        <v>110</v>
      </c>
      <c r="C50" s="194"/>
      <c r="D50" s="194"/>
      <c r="E50" s="194"/>
      <c r="F50" s="194"/>
      <c r="G50" s="2"/>
      <c r="H50" s="59">
        <f>COUNTIF(P30:P39,"Comprehensive")</f>
        <v>6</v>
      </c>
    </row>
    <row r="51" spans="2:10" ht="16" thickBot="1" x14ac:dyDescent="0.25">
      <c r="B51" s="2"/>
      <c r="C51" s="2"/>
      <c r="D51" s="2"/>
      <c r="E51" s="2"/>
      <c r="F51" s="2"/>
      <c r="G51" s="2"/>
      <c r="H51" s="53"/>
    </row>
    <row r="52" spans="2:10" ht="16" thickBot="1" x14ac:dyDescent="0.25">
      <c r="B52" s="52" t="s">
        <v>115</v>
      </c>
      <c r="C52" s="2"/>
      <c r="D52" s="2"/>
      <c r="E52" s="2"/>
      <c r="F52" s="2"/>
      <c r="G52" s="2"/>
      <c r="H52" s="59">
        <f>SUMIF(P30:P39,"Liability",O30:O39)</f>
        <v>2300</v>
      </c>
      <c r="J52" s="8"/>
    </row>
    <row r="53" spans="2:10" ht="16" thickBot="1" x14ac:dyDescent="0.25">
      <c r="B53" s="2"/>
      <c r="C53" s="2"/>
      <c r="D53" s="2"/>
      <c r="E53" s="2"/>
      <c r="F53" s="2"/>
      <c r="G53" s="2"/>
      <c r="H53" s="53"/>
    </row>
    <row r="54" spans="2:10" ht="16" thickBot="1" x14ac:dyDescent="0.25">
      <c r="B54" s="193" t="s">
        <v>111</v>
      </c>
      <c r="C54" s="193"/>
      <c r="D54" s="193"/>
      <c r="E54" s="193"/>
      <c r="F54" s="193"/>
      <c r="G54" s="2"/>
      <c r="H54" s="59">
        <f>INDEX(M30:M39,5)</f>
        <v>2024</v>
      </c>
      <c r="J54" s="60"/>
    </row>
    <row r="55" spans="2:10" x14ac:dyDescent="0.2">
      <c r="B55" s="193"/>
      <c r="C55" s="193"/>
      <c r="D55" s="193"/>
      <c r="E55" s="193"/>
      <c r="F55" s="193"/>
      <c r="G55" s="2"/>
      <c r="H55" s="53"/>
    </row>
    <row r="56" spans="2:10" ht="16" thickBot="1" x14ac:dyDescent="0.25">
      <c r="B56" s="2"/>
      <c r="C56" s="2"/>
      <c r="D56" s="2"/>
      <c r="E56" s="2"/>
      <c r="F56" s="2"/>
      <c r="G56" s="2"/>
      <c r="H56" s="53"/>
    </row>
    <row r="57" spans="2:10" ht="16" thickBot="1" x14ac:dyDescent="0.25">
      <c r="B57" s="194" t="s">
        <v>116</v>
      </c>
      <c r="C57" s="194"/>
      <c r="D57" s="194"/>
      <c r="E57" s="194"/>
      <c r="F57" s="194"/>
      <c r="G57" s="2"/>
      <c r="H57" s="59">
        <f>MATCH(2014,M30:M39,0)</f>
        <v>7</v>
      </c>
    </row>
    <row r="58" spans="2:10" x14ac:dyDescent="0.2">
      <c r="B58" s="194"/>
      <c r="C58" s="194"/>
      <c r="D58" s="194"/>
      <c r="E58" s="194"/>
      <c r="F58" s="194"/>
      <c r="G58" s="2"/>
      <c r="H58" s="53"/>
    </row>
    <row r="59" spans="2:10" ht="14.5" customHeight="1" thickBot="1" x14ac:dyDescent="0.25">
      <c r="B59" s="55"/>
      <c r="C59" s="55"/>
      <c r="D59" s="55"/>
      <c r="E59" s="55"/>
      <c r="F59" s="55"/>
      <c r="G59" s="2"/>
      <c r="H59" s="53"/>
    </row>
    <row r="60" spans="2:10" ht="15" customHeight="1" thickBot="1" x14ac:dyDescent="0.25">
      <c r="B60" s="193" t="s">
        <v>112</v>
      </c>
      <c r="C60" s="193"/>
      <c r="D60" s="193"/>
      <c r="E60" s="193"/>
      <c r="F60" s="193"/>
      <c r="G60" s="2"/>
      <c r="H60" s="59" t="str">
        <f>IFERROR(INDEX(P30:P39,MATCH("A10001",L30:L39,0)),"No policy")</f>
        <v>Comprehensive</v>
      </c>
    </row>
    <row r="61" spans="2:10" x14ac:dyDescent="0.2">
      <c r="B61" s="193"/>
      <c r="C61" s="193"/>
      <c r="D61" s="193"/>
      <c r="E61" s="193"/>
      <c r="F61" s="193"/>
      <c r="G61" s="2"/>
      <c r="H61" s="53"/>
    </row>
    <row r="62" spans="2:10" ht="14.5" customHeight="1" thickBot="1" x14ac:dyDescent="0.25">
      <c r="B62" s="55"/>
      <c r="C62" s="55"/>
      <c r="D62" s="55"/>
      <c r="E62" s="55"/>
      <c r="F62" s="55"/>
      <c r="G62" s="2"/>
      <c r="H62" s="53"/>
    </row>
    <row r="63" spans="2:10" ht="16" thickBot="1" x14ac:dyDescent="0.25">
      <c r="B63" s="193" t="s">
        <v>113</v>
      </c>
      <c r="C63" s="193"/>
      <c r="D63" s="193"/>
      <c r="E63" s="193"/>
      <c r="F63" s="193"/>
      <c r="G63" s="2"/>
      <c r="H63" s="59" t="str">
        <f>IFERROR(INDEX(P30:P39,MATCH("A10011",L30:L39,0)), "No policy")</f>
        <v>No policy</v>
      </c>
      <c r="J63" s="60"/>
    </row>
    <row r="64" spans="2:10" x14ac:dyDescent="0.2">
      <c r="B64" s="193"/>
      <c r="C64" s="193"/>
      <c r="D64" s="193"/>
      <c r="E64" s="193"/>
      <c r="F64" s="193"/>
      <c r="G64" s="2"/>
      <c r="H64" s="53"/>
    </row>
    <row r="65" spans="2:8" x14ac:dyDescent="0.2">
      <c r="B65" s="55"/>
      <c r="C65" s="55"/>
      <c r="D65" s="55"/>
      <c r="E65" s="55"/>
      <c r="F65" s="55"/>
      <c r="G65" s="2"/>
      <c r="H65" s="2"/>
    </row>
    <row r="66" spans="2:8" x14ac:dyDescent="0.2">
      <c r="B66" s="55"/>
      <c r="C66" s="55"/>
      <c r="D66" s="55"/>
      <c r="E66" s="55"/>
      <c r="F66" s="55"/>
      <c r="G66" s="2"/>
      <c r="H66" s="2"/>
    </row>
  </sheetData>
  <mergeCells count="65">
    <mergeCell ref="B4:H4"/>
    <mergeCell ref="B5:D5"/>
    <mergeCell ref="E5:F5"/>
    <mergeCell ref="G5:H5"/>
    <mergeCell ref="B6:D7"/>
    <mergeCell ref="E6:F7"/>
    <mergeCell ref="G6:H7"/>
    <mergeCell ref="B8:D9"/>
    <mergeCell ref="E8:F9"/>
    <mergeCell ref="G8:H9"/>
    <mergeCell ref="B10:D10"/>
    <mergeCell ref="E10:F10"/>
    <mergeCell ref="G10:H10"/>
    <mergeCell ref="B11:D11"/>
    <mergeCell ref="E11:F11"/>
    <mergeCell ref="G11:H11"/>
    <mergeCell ref="B13:H13"/>
    <mergeCell ref="B14:D14"/>
    <mergeCell ref="E14:F14"/>
    <mergeCell ref="G14:H14"/>
    <mergeCell ref="B18:D18"/>
    <mergeCell ref="E18:F18"/>
    <mergeCell ref="G18:H18"/>
    <mergeCell ref="E15:F17"/>
    <mergeCell ref="G15:H17"/>
    <mergeCell ref="B15:D17"/>
    <mergeCell ref="C34:F34"/>
    <mergeCell ref="C35:F35"/>
    <mergeCell ref="C36:F36"/>
    <mergeCell ref="B21:D21"/>
    <mergeCell ref="J14:M15"/>
    <mergeCell ref="J16:J17"/>
    <mergeCell ref="K16:K17"/>
    <mergeCell ref="L16:L17"/>
    <mergeCell ref="M16:M17"/>
    <mergeCell ref="C22:D22"/>
    <mergeCell ref="C23:D23"/>
    <mergeCell ref="C24:D24"/>
    <mergeCell ref="C25:D25"/>
    <mergeCell ref="C26:D26"/>
    <mergeCell ref="C27:D27"/>
    <mergeCell ref="B20:F20"/>
    <mergeCell ref="G36:J36"/>
    <mergeCell ref="G37:J37"/>
    <mergeCell ref="G38:J39"/>
    <mergeCell ref="B29:J29"/>
    <mergeCell ref="G30:J30"/>
    <mergeCell ref="G31:J31"/>
    <mergeCell ref="G32:J32"/>
    <mergeCell ref="G33:J33"/>
    <mergeCell ref="G34:J34"/>
    <mergeCell ref="G35:J35"/>
    <mergeCell ref="B38:B39"/>
    <mergeCell ref="C38:F39"/>
    <mergeCell ref="C30:F30"/>
    <mergeCell ref="C32:F32"/>
    <mergeCell ref="C31:F31"/>
    <mergeCell ref="C33:F33"/>
    <mergeCell ref="B63:F64"/>
    <mergeCell ref="B54:F55"/>
    <mergeCell ref="B45:E45"/>
    <mergeCell ref="B57:F58"/>
    <mergeCell ref="B60:F61"/>
    <mergeCell ref="B47:F48"/>
    <mergeCell ref="B50:F50"/>
  </mergeCells>
  <conditionalFormatting sqref="H43">
    <cfRule type="cellIs" dxfId="34" priority="21" operator="notEqual">
      <formula>13670</formula>
    </cfRule>
    <cfRule type="cellIs" dxfId="33" priority="22" operator="equal">
      <formula>13670</formula>
    </cfRule>
  </conditionalFormatting>
  <conditionalFormatting sqref="H45">
    <cfRule type="cellIs" dxfId="32" priority="17" operator="notEqual">
      <formula>2.718</formula>
    </cfRule>
    <cfRule type="cellIs" dxfId="31" priority="18" operator="equal">
      <formula>2.718</formula>
    </cfRule>
  </conditionalFormatting>
  <conditionalFormatting sqref="H47">
    <cfRule type="cellIs" dxfId="30" priority="15" operator="notEqual">
      <formula>"Older"</formula>
    </cfRule>
    <cfRule type="cellIs" dxfId="29" priority="16" operator="equal">
      <formula>"Older"</formula>
    </cfRule>
  </conditionalFormatting>
  <conditionalFormatting sqref="H50">
    <cfRule type="cellIs" dxfId="28" priority="13" operator="notEqual">
      <formula>6</formula>
    </cfRule>
    <cfRule type="cellIs" dxfId="27" priority="14" operator="equal">
      <formula>6</formula>
    </cfRule>
  </conditionalFormatting>
  <conditionalFormatting sqref="H52">
    <cfRule type="cellIs" dxfId="26" priority="11" operator="notEqual">
      <formula>2300</formula>
    </cfRule>
    <cfRule type="cellIs" dxfId="25" priority="12" operator="equal">
      <formula>2300</formula>
    </cfRule>
  </conditionalFormatting>
  <conditionalFormatting sqref="H54">
    <cfRule type="cellIs" dxfId="24" priority="9" operator="notEqual">
      <formula>2024</formula>
    </cfRule>
    <cfRule type="cellIs" dxfId="23" priority="10" operator="equal">
      <formula>2024</formula>
    </cfRule>
  </conditionalFormatting>
  <conditionalFormatting sqref="H57">
    <cfRule type="cellIs" dxfId="22" priority="7" operator="notEqual">
      <formula>7</formula>
    </cfRule>
    <cfRule type="cellIs" dxfId="21" priority="8" operator="equal">
      <formula>7</formula>
    </cfRule>
  </conditionalFormatting>
  <conditionalFormatting sqref="H60">
    <cfRule type="cellIs" dxfId="20" priority="3" operator="notEqual">
      <formula>"Comprehensive"</formula>
    </cfRule>
    <cfRule type="cellIs" dxfId="19" priority="4" operator="equal">
      <formula>"Comprehensive"</formula>
    </cfRule>
  </conditionalFormatting>
  <conditionalFormatting sqref="H63">
    <cfRule type="cellIs" dxfId="18" priority="1" operator="notEqual">
      <formula>"No policy"</formula>
    </cfRule>
    <cfRule type="cellIs" dxfId="17" priority="2" operator="equal">
      <formula>"No policy"</formula>
    </cfRule>
  </conditionalFormatting>
  <conditionalFormatting sqref="J18">
    <cfRule type="cellIs" dxfId="16" priority="30" operator="equal">
      <formula>TRUE</formula>
    </cfRule>
  </conditionalFormatting>
  <conditionalFormatting sqref="K18:L18">
    <cfRule type="cellIs" dxfId="15" priority="29" operator="equal">
      <formula>TRUE</formula>
    </cfRule>
  </conditionalFormatting>
  <conditionalFormatting sqref="M6">
    <cfRule type="cellIs" dxfId="14" priority="26" operator="notEqual">
      <formula>"XFD1048576"</formula>
    </cfRule>
    <cfRule type="cellIs" dxfId="13" priority="27" operator="equal">
      <formula>"XFD1048576"</formula>
    </cfRule>
  </conditionalFormatting>
  <conditionalFormatting sqref="M18">
    <cfRule type="cellIs" dxfId="12" priority="28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0D51-53A0-4601-AAC6-D036DEE34527}">
  <dimension ref="B2:I90"/>
  <sheetViews>
    <sheetView topLeftCell="A62" zoomScale="131" zoomScaleNormal="115" workbookViewId="0">
      <selection activeCell="F81" sqref="F81"/>
    </sheetView>
  </sheetViews>
  <sheetFormatPr baseColWidth="10" defaultColWidth="10.83203125" defaultRowHeight="15" x14ac:dyDescent="0.2"/>
  <cols>
    <col min="1" max="1" width="2.6640625" style="6" customWidth="1"/>
    <col min="2" max="2" width="15.5" style="6" customWidth="1"/>
    <col min="3" max="3" width="19.6640625" style="6" customWidth="1"/>
    <col min="4" max="4" width="20.83203125" style="6" customWidth="1"/>
    <col min="5" max="5" width="12.33203125" style="6" customWidth="1"/>
    <col min="6" max="6" width="25.33203125" style="6" customWidth="1"/>
    <col min="7" max="7" width="11.5" style="6" customWidth="1"/>
    <col min="8" max="8" width="13.83203125" style="6" customWidth="1"/>
    <col min="9" max="16384" width="10.83203125" style="6"/>
  </cols>
  <sheetData>
    <row r="2" spans="2:9" ht="21" x14ac:dyDescent="0.2">
      <c r="B2" s="170" t="s">
        <v>137</v>
      </c>
      <c r="C2" s="170"/>
      <c r="D2" s="64"/>
    </row>
    <row r="3" spans="2:9" ht="16" thickBot="1" x14ac:dyDescent="0.25"/>
    <row r="4" spans="2:9" ht="14.5" customHeight="1" x14ac:dyDescent="0.2">
      <c r="B4" s="184" t="s">
        <v>141</v>
      </c>
      <c r="C4" s="187" t="s">
        <v>118</v>
      </c>
      <c r="D4" s="188"/>
      <c r="E4" s="188"/>
      <c r="F4" s="189"/>
      <c r="G4" s="103"/>
      <c r="H4" s="103"/>
      <c r="I4" s="103"/>
    </row>
    <row r="5" spans="2:9" ht="14.5" customHeight="1" x14ac:dyDescent="0.2">
      <c r="B5" s="185"/>
      <c r="C5" s="190"/>
      <c r="D5" s="191"/>
      <c r="E5" s="191"/>
      <c r="F5" s="192"/>
      <c r="G5" s="103"/>
      <c r="H5" s="103"/>
      <c r="I5" s="103"/>
    </row>
    <row r="6" spans="2:9" ht="14.5" customHeight="1" x14ac:dyDescent="0.2">
      <c r="B6" s="186" t="s">
        <v>142</v>
      </c>
      <c r="C6" s="164" t="s">
        <v>837</v>
      </c>
      <c r="D6" s="165"/>
      <c r="E6" s="165"/>
      <c r="F6" s="166"/>
    </row>
    <row r="7" spans="2:9" x14ac:dyDescent="0.2">
      <c r="B7" s="186"/>
      <c r="C7" s="167"/>
      <c r="D7" s="168"/>
      <c r="E7" s="168"/>
      <c r="F7" s="169"/>
    </row>
    <row r="8" spans="2:9" ht="14.5" customHeight="1" x14ac:dyDescent="0.2">
      <c r="B8" s="177" t="s">
        <v>143</v>
      </c>
      <c r="C8" s="171" t="s">
        <v>157</v>
      </c>
      <c r="D8" s="172"/>
      <c r="E8" s="172"/>
      <c r="F8" s="173"/>
      <c r="G8" s="75"/>
    </row>
    <row r="9" spans="2:9" ht="16" thickBot="1" x14ac:dyDescent="0.25">
      <c r="B9" s="178"/>
      <c r="C9" s="174"/>
      <c r="D9" s="175"/>
      <c r="E9" s="175"/>
      <c r="F9" s="176"/>
      <c r="G9" s="75"/>
    </row>
    <row r="10" spans="2:9" x14ac:dyDescent="0.2">
      <c r="B10" s="155"/>
      <c r="C10" s="156"/>
      <c r="D10" s="156"/>
      <c r="E10" s="156"/>
      <c r="F10" s="156"/>
    </row>
    <row r="11" spans="2:9" x14ac:dyDescent="0.2">
      <c r="B11" s="180" t="s">
        <v>147</v>
      </c>
      <c r="C11" s="181"/>
      <c r="D11" s="156"/>
      <c r="E11" s="156"/>
      <c r="F11" s="156"/>
    </row>
    <row r="12" spans="2:9" x14ac:dyDescent="0.2">
      <c r="B12" s="6" t="s">
        <v>148</v>
      </c>
      <c r="C12" s="156"/>
      <c r="D12" s="156"/>
      <c r="E12" s="156"/>
      <c r="F12" s="156"/>
    </row>
    <row r="13" spans="2:9" x14ac:dyDescent="0.2">
      <c r="B13" s="6" t="s">
        <v>149</v>
      </c>
      <c r="C13" s="156"/>
      <c r="D13" s="156"/>
      <c r="E13" s="156"/>
      <c r="F13" s="156"/>
    </row>
    <row r="14" spans="2:9" x14ac:dyDescent="0.2">
      <c r="B14" s="6" t="s">
        <v>150</v>
      </c>
      <c r="C14" s="156"/>
      <c r="D14" s="156"/>
      <c r="E14" s="156"/>
      <c r="F14" s="156"/>
    </row>
    <row r="15" spans="2:9" x14ac:dyDescent="0.2">
      <c r="C15" s="156"/>
      <c r="D15" s="156"/>
      <c r="E15" s="156"/>
      <c r="F15" s="156"/>
    </row>
    <row r="16" spans="2:9" x14ac:dyDescent="0.2">
      <c r="B16" s="5" t="s">
        <v>153</v>
      </c>
      <c r="C16" s="156"/>
      <c r="D16" s="156"/>
      <c r="E16" s="156"/>
      <c r="F16" s="156"/>
    </row>
    <row r="17" spans="2:6" x14ac:dyDescent="0.2">
      <c r="B17" s="6" t="s">
        <v>154</v>
      </c>
      <c r="C17" s="156"/>
      <c r="D17" s="156"/>
      <c r="E17" s="156"/>
      <c r="F17" s="156"/>
    </row>
    <row r="18" spans="2:6" x14ac:dyDescent="0.2">
      <c r="B18" s="6" t="s">
        <v>155</v>
      </c>
      <c r="C18" s="156"/>
      <c r="D18" s="156"/>
      <c r="E18" s="156"/>
      <c r="F18" s="156"/>
    </row>
    <row r="19" spans="2:6" x14ac:dyDescent="0.2">
      <c r="C19" s="156"/>
      <c r="D19" s="156"/>
      <c r="E19" s="156"/>
    </row>
    <row r="20" spans="2:6" x14ac:dyDescent="0.2">
      <c r="B20" s="5" t="s">
        <v>151</v>
      </c>
      <c r="C20" s="156"/>
      <c r="D20" s="156"/>
      <c r="E20" s="156"/>
    </row>
    <row r="21" spans="2:6" x14ac:dyDescent="0.2">
      <c r="B21" s="6" t="s">
        <v>152</v>
      </c>
      <c r="C21" s="156"/>
      <c r="D21" s="156"/>
      <c r="E21" s="156"/>
    </row>
    <row r="22" spans="2:6" x14ac:dyDescent="0.2">
      <c r="B22" s="6" t="s">
        <v>156</v>
      </c>
      <c r="C22" s="156"/>
      <c r="D22" s="156"/>
      <c r="E22" s="156"/>
      <c r="F22" s="156"/>
    </row>
    <row r="24" spans="2:6" ht="16" x14ac:dyDescent="0.2">
      <c r="B24" s="74" t="s">
        <v>119</v>
      </c>
    </row>
    <row r="25" spans="2:6" x14ac:dyDescent="0.2">
      <c r="B25" s="6" t="s">
        <v>144</v>
      </c>
    </row>
    <row r="26" spans="2:6" ht="16" thickBot="1" x14ac:dyDescent="0.25"/>
    <row r="27" spans="2:6" x14ac:dyDescent="0.2">
      <c r="B27" s="70" t="s">
        <v>120</v>
      </c>
    </row>
    <row r="28" spans="2:6" x14ac:dyDescent="0.2">
      <c r="B28" s="71" t="s">
        <v>121</v>
      </c>
    </row>
    <row r="29" spans="2:6" x14ac:dyDescent="0.2">
      <c r="B29" s="72" t="s">
        <v>122</v>
      </c>
    </row>
    <row r="30" spans="2:6" x14ac:dyDescent="0.2">
      <c r="B30" s="71" t="s">
        <v>123</v>
      </c>
    </row>
    <row r="31" spans="2:6" x14ac:dyDescent="0.2">
      <c r="B31" s="72" t="s">
        <v>124</v>
      </c>
    </row>
    <row r="32" spans="2:6" x14ac:dyDescent="0.2">
      <c r="B32" s="71" t="s">
        <v>125</v>
      </c>
    </row>
    <row r="33" spans="2:3" x14ac:dyDescent="0.2">
      <c r="B33" s="72" t="s">
        <v>126</v>
      </c>
    </row>
    <row r="34" spans="2:3" x14ac:dyDescent="0.2">
      <c r="B34" s="71" t="s">
        <v>127</v>
      </c>
    </row>
    <row r="35" spans="2:3" x14ac:dyDescent="0.2">
      <c r="B35" s="72" t="s">
        <v>128</v>
      </c>
    </row>
    <row r="36" spans="2:3" ht="16" thickBot="1" x14ac:dyDescent="0.25">
      <c r="B36" s="73" t="s">
        <v>129</v>
      </c>
    </row>
    <row r="38" spans="2:3" x14ac:dyDescent="0.2">
      <c r="B38" s="6" t="s">
        <v>130</v>
      </c>
    </row>
    <row r="39" spans="2:3" x14ac:dyDescent="0.2">
      <c r="B39" s="6" t="s">
        <v>145</v>
      </c>
    </row>
    <row r="40" spans="2:3" x14ac:dyDescent="0.2">
      <c r="B40" s="6" t="s">
        <v>146</v>
      </c>
    </row>
    <row r="41" spans="2:3" ht="16" thickBot="1" x14ac:dyDescent="0.25"/>
    <row r="42" spans="2:3" x14ac:dyDescent="0.2">
      <c r="B42" s="182" t="s">
        <v>131</v>
      </c>
      <c r="C42" s="183"/>
    </row>
    <row r="43" spans="2:3" ht="14.5" customHeight="1" x14ac:dyDescent="0.2">
      <c r="B43" s="77" t="s">
        <v>132</v>
      </c>
      <c r="C43" s="16" t="s">
        <v>133</v>
      </c>
    </row>
    <row r="44" spans="2:3" x14ac:dyDescent="0.2">
      <c r="B44" s="94" t="s">
        <v>134</v>
      </c>
      <c r="C44" s="95"/>
    </row>
    <row r="45" spans="2:3" ht="16" thickBot="1" x14ac:dyDescent="0.25">
      <c r="B45" s="79" t="s">
        <v>135</v>
      </c>
      <c r="C45" s="78"/>
    </row>
    <row r="47" spans="2:3" ht="19" x14ac:dyDescent="0.2">
      <c r="B47" s="62" t="s">
        <v>845</v>
      </c>
    </row>
    <row r="49" spans="2:8" ht="14.5" customHeight="1" x14ac:dyDescent="0.2">
      <c r="B49" s="179" t="s">
        <v>171</v>
      </c>
      <c r="C49" s="179"/>
      <c r="D49" s="179"/>
      <c r="E49" s="179"/>
      <c r="F49" s="179"/>
      <c r="G49" s="80"/>
      <c r="H49" s="80"/>
    </row>
    <row r="50" spans="2:8" x14ac:dyDescent="0.2">
      <c r="B50" s="179"/>
      <c r="C50" s="179"/>
      <c r="D50" s="179"/>
      <c r="E50" s="179"/>
      <c r="F50" s="179"/>
      <c r="G50" s="80"/>
      <c r="H50" s="80"/>
    </row>
    <row r="52" spans="2:8" x14ac:dyDescent="0.2">
      <c r="B52" s="5" t="s">
        <v>163</v>
      </c>
    </row>
    <row r="53" spans="2:8" x14ac:dyDescent="0.2">
      <c r="B53" s="5" t="s">
        <v>164</v>
      </c>
    </row>
    <row r="54" spans="2:8" x14ac:dyDescent="0.2">
      <c r="B54" s="5" t="s">
        <v>165</v>
      </c>
    </row>
    <row r="56" spans="2:8" x14ac:dyDescent="0.2">
      <c r="B56" s="5" t="s">
        <v>174</v>
      </c>
    </row>
    <row r="57" spans="2:8" x14ac:dyDescent="0.2">
      <c r="B57" s="5"/>
    </row>
    <row r="58" spans="2:8" x14ac:dyDescent="0.2">
      <c r="B58" s="6" t="s">
        <v>173</v>
      </c>
    </row>
    <row r="60" spans="2:8" x14ac:dyDescent="0.2">
      <c r="B60" s="96" t="s">
        <v>172</v>
      </c>
      <c r="C60" s="96" t="s">
        <v>166</v>
      </c>
      <c r="D60" s="96" t="s">
        <v>167</v>
      </c>
    </row>
    <row r="61" spans="2:8" x14ac:dyDescent="0.2">
      <c r="B61" s="81" t="s">
        <v>160</v>
      </c>
      <c r="C61" s="66" t="s">
        <v>87</v>
      </c>
      <c r="D61" s="66" t="s">
        <v>161</v>
      </c>
    </row>
    <row r="62" spans="2:8" x14ac:dyDescent="0.2">
      <c r="B62" s="97" t="s">
        <v>159</v>
      </c>
      <c r="C62" s="68" t="s">
        <v>90</v>
      </c>
      <c r="D62" s="68" t="s">
        <v>162</v>
      </c>
    </row>
    <row r="63" spans="2:8" x14ac:dyDescent="0.2">
      <c r="C63" s="67" t="s">
        <v>85</v>
      </c>
      <c r="D63" s="67" t="s">
        <v>169</v>
      </c>
    </row>
    <row r="64" spans="2:8" x14ac:dyDescent="0.2">
      <c r="C64" s="69" t="s">
        <v>168</v>
      </c>
      <c r="D64" s="69" t="s">
        <v>170</v>
      </c>
    </row>
    <row r="66" spans="2:5" x14ac:dyDescent="0.2">
      <c r="B66" s="6" t="s">
        <v>175</v>
      </c>
    </row>
    <row r="67" spans="2:5" x14ac:dyDescent="0.2">
      <c r="B67" s="6" t="s">
        <v>176</v>
      </c>
    </row>
    <row r="68" spans="2:5" x14ac:dyDescent="0.2">
      <c r="B68" s="6" t="s">
        <v>177</v>
      </c>
    </row>
    <row r="70" spans="2:5" x14ac:dyDescent="0.2">
      <c r="B70" s="5" t="s">
        <v>181</v>
      </c>
    </row>
    <row r="71" spans="2:5" x14ac:dyDescent="0.2">
      <c r="B71" s="5"/>
    </row>
    <row r="72" spans="2:5" x14ac:dyDescent="0.2">
      <c r="B72" s="28" t="s">
        <v>849</v>
      </c>
    </row>
    <row r="73" spans="2:5" x14ac:dyDescent="0.2">
      <c r="B73" s="28" t="s">
        <v>182</v>
      </c>
    </row>
    <row r="74" spans="2:5" x14ac:dyDescent="0.2">
      <c r="B74" s="28" t="s">
        <v>850</v>
      </c>
    </row>
    <row r="75" spans="2:5" x14ac:dyDescent="0.2">
      <c r="B75" s="28" t="s">
        <v>851</v>
      </c>
    </row>
    <row r="76" spans="2:5" x14ac:dyDescent="0.2">
      <c r="B76" s="28" t="s">
        <v>183</v>
      </c>
    </row>
    <row r="77" spans="2:5" x14ac:dyDescent="0.2">
      <c r="B77" s="28" t="s">
        <v>852</v>
      </c>
    </row>
    <row r="78" spans="2:5" ht="16" thickBot="1" x14ac:dyDescent="0.25">
      <c r="B78" s="5"/>
    </row>
    <row r="79" spans="2:5" ht="16" thickBot="1" x14ac:dyDescent="0.25">
      <c r="B79" s="98" t="s">
        <v>178</v>
      </c>
      <c r="C79" s="99" t="s">
        <v>179</v>
      </c>
      <c r="D79" s="100" t="s">
        <v>180</v>
      </c>
    </row>
    <row r="80" spans="2:5" x14ac:dyDescent="0.2">
      <c r="B80" s="76" t="s">
        <v>84</v>
      </c>
      <c r="C80" s="157" t="s">
        <v>160</v>
      </c>
      <c r="D80" s="161" t="s">
        <v>161</v>
      </c>
      <c r="E80" s="75"/>
    </row>
    <row r="81" spans="2:5" x14ac:dyDescent="0.2">
      <c r="B81" s="76" t="s">
        <v>86</v>
      </c>
      <c r="C81" s="158"/>
      <c r="D81" s="162"/>
      <c r="E81" s="75"/>
    </row>
    <row r="82" spans="2:5" x14ac:dyDescent="0.2">
      <c r="B82" s="76" t="s">
        <v>88</v>
      </c>
      <c r="C82" s="158"/>
      <c r="D82" s="162"/>
      <c r="E82" s="75"/>
    </row>
    <row r="83" spans="2:5" x14ac:dyDescent="0.2">
      <c r="B83" s="76" t="s">
        <v>89</v>
      </c>
      <c r="C83" s="158"/>
      <c r="D83" s="162"/>
      <c r="E83" s="75"/>
    </row>
    <row r="84" spans="2:5" x14ac:dyDescent="0.2">
      <c r="B84" s="76" t="s">
        <v>91</v>
      </c>
      <c r="C84" s="158"/>
      <c r="D84" s="162"/>
      <c r="E84" s="75"/>
    </row>
    <row r="85" spans="2:5" x14ac:dyDescent="0.2">
      <c r="B85" s="76" t="s">
        <v>92</v>
      </c>
      <c r="C85" s="158"/>
      <c r="D85" s="162"/>
      <c r="E85" s="75"/>
    </row>
    <row r="86" spans="2:5" x14ac:dyDescent="0.2">
      <c r="B86" s="76" t="s">
        <v>93</v>
      </c>
      <c r="C86" s="158"/>
      <c r="D86" s="162"/>
      <c r="E86" s="75"/>
    </row>
    <row r="87" spans="2:5" x14ac:dyDescent="0.2">
      <c r="B87" s="76" t="s">
        <v>94</v>
      </c>
      <c r="C87" s="158"/>
      <c r="D87" s="162"/>
      <c r="E87" s="75"/>
    </row>
    <row r="88" spans="2:5" x14ac:dyDescent="0.2">
      <c r="B88" s="76" t="s">
        <v>95</v>
      </c>
      <c r="C88" s="158"/>
      <c r="D88" s="162"/>
      <c r="E88" s="75"/>
    </row>
    <row r="89" spans="2:5" ht="16" thickBot="1" x14ac:dyDescent="0.25">
      <c r="B89" s="76" t="s">
        <v>96</v>
      </c>
      <c r="C89" s="159"/>
      <c r="D89" s="163"/>
      <c r="E89" s="75"/>
    </row>
    <row r="90" spans="2:5" x14ac:dyDescent="0.2">
      <c r="B90" s="160"/>
      <c r="C90" s="160"/>
      <c r="D90" s="160"/>
    </row>
  </sheetData>
  <mergeCells count="10">
    <mergeCell ref="C6:F7"/>
    <mergeCell ref="B2:C2"/>
    <mergeCell ref="C8:F9"/>
    <mergeCell ref="B8:B9"/>
    <mergeCell ref="B49:F50"/>
    <mergeCell ref="B11:C11"/>
    <mergeCell ref="B42:C42"/>
    <mergeCell ref="B4:B5"/>
    <mergeCell ref="B6:B7"/>
    <mergeCell ref="C4:F5"/>
  </mergeCells>
  <dataValidations count="4">
    <dataValidation type="whole" allowBlank="1" showInputMessage="1" showErrorMessage="1" sqref="C44" xr:uid="{B95C11C9-C9A5-6248-92A6-3362840A03DD}">
      <formula1>18</formula1>
      <formula2>69</formula2>
    </dataValidation>
    <dataValidation type="list" allowBlank="1" showInputMessage="1" showErrorMessage="1" sqref="C45" xr:uid="{4A39A585-CBE3-5D44-975D-DC1F5B46334F}">
      <formula1>$B$27:$B$36</formula1>
    </dataValidation>
    <dataValidation type="list" allowBlank="1" showInputMessage="1" showErrorMessage="1" sqref="C80:C89" xr:uid="{0F8D892C-34F7-0342-A9EC-14311464B878}">
      <formula1>LOBs</formula1>
    </dataValidation>
    <dataValidation type="list" allowBlank="1" showInputMessage="1" showErrorMessage="1" sqref="D80:D89" xr:uid="{6A0057A1-E797-9F42-9896-2E0500135CF4}">
      <formula1>INDIRECT(C80)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0451-7451-4AC3-9297-8F5F4D804A7C}">
  <dimension ref="B2:T73"/>
  <sheetViews>
    <sheetView topLeftCell="A18" zoomScale="118" zoomScaleNormal="145" workbookViewId="0">
      <selection activeCell="Q91" sqref="Q91"/>
    </sheetView>
  </sheetViews>
  <sheetFormatPr baseColWidth="10" defaultColWidth="8.6640625" defaultRowHeight="15" x14ac:dyDescent="0.2"/>
  <cols>
    <col min="1" max="1" width="2.6640625" style="2" customWidth="1"/>
    <col min="2" max="2" width="23.6640625" style="2" customWidth="1"/>
    <col min="3" max="10" width="8.6640625" style="2"/>
    <col min="11" max="11" width="11.5" style="2" customWidth="1"/>
    <col min="12" max="18" width="8.6640625" style="2"/>
    <col min="19" max="19" width="11.33203125" style="2" customWidth="1"/>
    <col min="20" max="16384" width="8.6640625" style="2"/>
  </cols>
  <sheetData>
    <row r="2" spans="2:19" ht="21" x14ac:dyDescent="0.2">
      <c r="B2" s="170" t="s">
        <v>184</v>
      </c>
      <c r="C2" s="170"/>
    </row>
    <row r="4" spans="2:19" ht="19" x14ac:dyDescent="0.25">
      <c r="B4" s="1"/>
      <c r="C4" s="300" t="s">
        <v>187</v>
      </c>
      <c r="D4" s="300"/>
      <c r="E4" s="300"/>
      <c r="F4" s="300"/>
      <c r="G4" s="300"/>
      <c r="H4" s="300"/>
      <c r="I4" s="300"/>
      <c r="J4" s="300"/>
      <c r="K4" s="300"/>
      <c r="L4" s="300" t="s">
        <v>190</v>
      </c>
      <c r="M4" s="301"/>
      <c r="N4" s="301"/>
      <c r="O4" s="301"/>
      <c r="P4" s="301"/>
      <c r="Q4" s="301"/>
      <c r="R4" s="301"/>
      <c r="S4" s="301"/>
    </row>
    <row r="5" spans="2:19" ht="16" thickBot="1" x14ac:dyDescent="0.25"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2:19" ht="14.5" customHeight="1" x14ac:dyDescent="0.2">
      <c r="B6" s="84" t="s">
        <v>138</v>
      </c>
      <c r="C6" s="306" t="s">
        <v>191</v>
      </c>
      <c r="D6" s="307"/>
      <c r="E6" s="307"/>
      <c r="F6" s="307"/>
      <c r="G6" s="307"/>
      <c r="H6" s="307"/>
      <c r="I6" s="307"/>
      <c r="J6" s="307"/>
      <c r="K6" s="307"/>
      <c r="L6" s="306" t="s">
        <v>189</v>
      </c>
      <c r="M6" s="307"/>
      <c r="N6" s="307"/>
      <c r="O6" s="307"/>
      <c r="P6" s="307"/>
      <c r="Q6" s="307"/>
      <c r="R6" s="307"/>
      <c r="S6" s="308"/>
    </row>
    <row r="7" spans="2:19" x14ac:dyDescent="0.2">
      <c r="B7" s="88" t="s">
        <v>139</v>
      </c>
      <c r="C7" s="297" t="s">
        <v>188</v>
      </c>
      <c r="D7" s="298"/>
      <c r="E7" s="298"/>
      <c r="F7" s="298"/>
      <c r="G7" s="298"/>
      <c r="H7" s="298"/>
      <c r="I7" s="298"/>
      <c r="J7" s="298"/>
      <c r="K7" s="298"/>
      <c r="L7" s="297" t="s">
        <v>188</v>
      </c>
      <c r="M7" s="298"/>
      <c r="N7" s="298"/>
      <c r="O7" s="298"/>
      <c r="P7" s="298"/>
      <c r="Q7" s="298"/>
      <c r="R7" s="298"/>
      <c r="S7" s="299"/>
    </row>
    <row r="8" spans="2:19" x14ac:dyDescent="0.2">
      <c r="B8" s="84" t="s">
        <v>140</v>
      </c>
      <c r="C8" s="304" t="s">
        <v>196</v>
      </c>
      <c r="D8" s="305"/>
      <c r="E8" s="305"/>
      <c r="F8" s="305"/>
      <c r="G8" s="305"/>
      <c r="H8" s="305"/>
      <c r="I8" s="305"/>
      <c r="J8" s="305"/>
      <c r="K8" s="305"/>
      <c r="L8" s="304" t="s">
        <v>192</v>
      </c>
      <c r="M8" s="305"/>
      <c r="N8" s="305"/>
      <c r="O8" s="305"/>
      <c r="P8" s="305"/>
      <c r="Q8" s="305"/>
      <c r="R8" s="305"/>
      <c r="S8" s="309"/>
    </row>
    <row r="9" spans="2:19" x14ac:dyDescent="0.2">
      <c r="B9" s="88" t="s">
        <v>185</v>
      </c>
      <c r="C9" s="297" t="s">
        <v>197</v>
      </c>
      <c r="D9" s="298"/>
      <c r="E9" s="298"/>
      <c r="F9" s="298"/>
      <c r="G9" s="298"/>
      <c r="H9" s="298"/>
      <c r="I9" s="298"/>
      <c r="J9" s="298"/>
      <c r="K9" s="298"/>
      <c r="L9" s="297" t="s">
        <v>213</v>
      </c>
      <c r="M9" s="298"/>
      <c r="N9" s="298"/>
      <c r="O9" s="298"/>
      <c r="P9" s="298"/>
      <c r="Q9" s="298"/>
      <c r="R9" s="298"/>
      <c r="S9" s="299"/>
    </row>
    <row r="10" spans="2:19" x14ac:dyDescent="0.2">
      <c r="B10" s="88"/>
      <c r="C10" s="297"/>
      <c r="D10" s="298"/>
      <c r="E10" s="298"/>
      <c r="F10" s="298"/>
      <c r="G10" s="298"/>
      <c r="H10" s="298"/>
      <c r="I10" s="298"/>
      <c r="J10" s="298"/>
      <c r="K10" s="298"/>
      <c r="L10" s="297"/>
      <c r="M10" s="298"/>
      <c r="N10" s="298"/>
      <c r="O10" s="298"/>
      <c r="P10" s="298"/>
      <c r="Q10" s="298"/>
      <c r="R10" s="298"/>
      <c r="S10" s="299"/>
    </row>
    <row r="11" spans="2:19" x14ac:dyDescent="0.2">
      <c r="B11" s="88"/>
      <c r="C11" s="85"/>
      <c r="D11" s="86"/>
      <c r="E11" s="86"/>
      <c r="F11" s="86"/>
      <c r="G11" s="86"/>
      <c r="H11" s="86"/>
      <c r="I11" s="86"/>
      <c r="J11" s="86"/>
      <c r="K11" s="86"/>
      <c r="L11" s="297" t="s">
        <v>193</v>
      </c>
      <c r="M11" s="298"/>
      <c r="N11" s="298"/>
      <c r="O11" s="298"/>
      <c r="P11" s="298"/>
      <c r="Q11" s="298"/>
      <c r="R11" s="298"/>
      <c r="S11" s="299"/>
    </row>
    <row r="12" spans="2:19" ht="16" thickBot="1" x14ac:dyDescent="0.25">
      <c r="B12" s="90" t="s">
        <v>186</v>
      </c>
      <c r="C12" s="294" t="s">
        <v>194</v>
      </c>
      <c r="D12" s="295"/>
      <c r="E12" s="295"/>
      <c r="F12" s="295"/>
      <c r="G12" s="295"/>
      <c r="H12" s="295"/>
      <c r="I12" s="295"/>
      <c r="J12" s="295"/>
      <c r="K12" s="295"/>
      <c r="L12" s="294" t="s">
        <v>195</v>
      </c>
      <c r="M12" s="295"/>
      <c r="N12" s="295"/>
      <c r="O12" s="295"/>
      <c r="P12" s="295"/>
      <c r="Q12" s="295"/>
      <c r="R12" s="295"/>
      <c r="S12" s="296"/>
    </row>
    <row r="14" spans="2:19" x14ac:dyDescent="0.2">
      <c r="B14" s="52" t="s">
        <v>206</v>
      </c>
    </row>
    <row r="15" spans="2:19" ht="16" thickBot="1" x14ac:dyDescent="0.25"/>
    <row r="16" spans="2:19" x14ac:dyDescent="0.2">
      <c r="B16" s="101" t="s">
        <v>198</v>
      </c>
      <c r="C16" s="302" t="s">
        <v>199</v>
      </c>
      <c r="D16" s="302"/>
      <c r="E16" s="302" t="s">
        <v>200</v>
      </c>
      <c r="F16" s="302"/>
      <c r="G16" s="302" t="s">
        <v>207</v>
      </c>
      <c r="H16" s="303"/>
    </row>
    <row r="17" spans="2:20" x14ac:dyDescent="0.2">
      <c r="B17" s="91" t="s">
        <v>201</v>
      </c>
      <c r="C17" s="310" t="str">
        <f>LEFT(B17,9)</f>
        <v>006492738</v>
      </c>
      <c r="D17" s="310"/>
      <c r="E17" s="310" t="str">
        <f>MID(B17,11,4)</f>
        <v>2029</v>
      </c>
      <c r="F17" s="310"/>
      <c r="G17" s="310" t="str">
        <f>RIGHT(B17,4)</f>
        <v>3.24</v>
      </c>
      <c r="H17" s="311"/>
    </row>
    <row r="18" spans="2:20" x14ac:dyDescent="0.2">
      <c r="B18" s="102" t="s">
        <v>202</v>
      </c>
      <c r="C18" s="310" t="str">
        <f t="shared" ref="C18:C21" si="0">LEFT(B18,9)</f>
        <v>106005396</v>
      </c>
      <c r="D18" s="310"/>
      <c r="E18" s="310" t="str">
        <f t="shared" ref="E18:E21" si="1">MID(B18,11,4)</f>
        <v>2028</v>
      </c>
      <c r="F18" s="310"/>
      <c r="G18" s="310" t="str">
        <f t="shared" ref="G18:G21" si="2">RIGHT(B18,4)</f>
        <v>3.76</v>
      </c>
      <c r="H18" s="311"/>
    </row>
    <row r="19" spans="2:20" x14ac:dyDescent="0.2">
      <c r="B19" s="91" t="s">
        <v>203</v>
      </c>
      <c r="C19" s="310" t="str">
        <f t="shared" si="0"/>
        <v>506856114</v>
      </c>
      <c r="D19" s="310"/>
      <c r="E19" s="310" t="str">
        <f t="shared" si="1"/>
        <v>2026</v>
      </c>
      <c r="F19" s="310"/>
      <c r="G19" s="310" t="str">
        <f t="shared" si="2"/>
        <v>3.55</v>
      </c>
      <c r="H19" s="311"/>
    </row>
    <row r="20" spans="2:20" x14ac:dyDescent="0.2">
      <c r="B20" s="102" t="s">
        <v>204</v>
      </c>
      <c r="C20" s="310" t="str">
        <f t="shared" si="0"/>
        <v>805229063</v>
      </c>
      <c r="D20" s="310"/>
      <c r="E20" s="310" t="str">
        <f t="shared" si="1"/>
        <v>2028</v>
      </c>
      <c r="F20" s="310"/>
      <c r="G20" s="310" t="str">
        <f t="shared" si="2"/>
        <v>4.00</v>
      </c>
      <c r="H20" s="311"/>
    </row>
    <row r="21" spans="2:20" ht="16" thickBot="1" x14ac:dyDescent="0.25">
      <c r="B21" s="92" t="s">
        <v>205</v>
      </c>
      <c r="C21" s="310" t="str">
        <f t="shared" si="0"/>
        <v>306310224</v>
      </c>
      <c r="D21" s="310"/>
      <c r="E21" s="310" t="str">
        <f t="shared" si="1"/>
        <v>2027</v>
      </c>
      <c r="F21" s="310"/>
      <c r="G21" s="310" t="str">
        <f t="shared" si="2"/>
        <v>3.81</v>
      </c>
      <c r="H21" s="311"/>
    </row>
    <row r="22" spans="2:20" x14ac:dyDescent="0.2">
      <c r="C22" s="89"/>
      <c r="D22" s="89"/>
      <c r="E22" s="89"/>
      <c r="F22" s="89"/>
      <c r="G22" s="89"/>
      <c r="H22" s="89"/>
    </row>
    <row r="23" spans="2:20" ht="19" x14ac:dyDescent="0.25">
      <c r="B23" s="1"/>
      <c r="C23" s="300" t="s">
        <v>215</v>
      </c>
      <c r="D23" s="300"/>
      <c r="E23" s="300"/>
      <c r="F23" s="300"/>
      <c r="G23" s="300"/>
      <c r="H23" s="300"/>
      <c r="I23" s="300"/>
      <c r="J23" s="300"/>
      <c r="K23" s="300"/>
      <c r="L23" s="300" t="s">
        <v>216</v>
      </c>
      <c r="M23" s="300"/>
      <c r="N23" s="300"/>
      <c r="O23" s="300"/>
      <c r="P23" s="300"/>
      <c r="Q23" s="300"/>
      <c r="R23" s="300"/>
      <c r="S23" s="300"/>
      <c r="T23" s="300"/>
    </row>
    <row r="24" spans="2:20" ht="16" thickBot="1" x14ac:dyDescent="0.25"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</row>
    <row r="25" spans="2:20" x14ac:dyDescent="0.2">
      <c r="B25" s="84" t="s">
        <v>138</v>
      </c>
      <c r="C25" s="306" t="s">
        <v>208</v>
      </c>
      <c r="D25" s="307"/>
      <c r="E25" s="307"/>
      <c r="F25" s="307"/>
      <c r="G25" s="307"/>
      <c r="H25" s="307"/>
      <c r="I25" s="307"/>
      <c r="J25" s="307"/>
      <c r="K25" s="307"/>
      <c r="L25" s="306" t="s">
        <v>217</v>
      </c>
      <c r="M25" s="307"/>
      <c r="N25" s="307"/>
      <c r="O25" s="307"/>
      <c r="P25" s="307"/>
      <c r="Q25" s="307"/>
      <c r="R25" s="307"/>
      <c r="S25" s="307"/>
      <c r="T25" s="308"/>
    </row>
    <row r="26" spans="2:20" x14ac:dyDescent="0.2">
      <c r="B26" s="312" t="s">
        <v>139</v>
      </c>
      <c r="C26" s="297" t="s">
        <v>209</v>
      </c>
      <c r="D26" s="298"/>
      <c r="E26" s="298"/>
      <c r="F26" s="298"/>
      <c r="G26" s="298"/>
      <c r="H26" s="298"/>
      <c r="I26" s="298"/>
      <c r="J26" s="298"/>
      <c r="K26" s="298"/>
      <c r="L26" s="297" t="s">
        <v>218</v>
      </c>
      <c r="M26" s="298"/>
      <c r="N26" s="298"/>
      <c r="O26" s="298"/>
      <c r="P26" s="298"/>
      <c r="Q26" s="298"/>
      <c r="R26" s="298"/>
      <c r="S26" s="298"/>
      <c r="T26" s="299"/>
    </row>
    <row r="27" spans="2:20" x14ac:dyDescent="0.2">
      <c r="B27" s="312"/>
      <c r="C27" s="297"/>
      <c r="D27" s="298"/>
      <c r="E27" s="298"/>
      <c r="F27" s="298"/>
      <c r="G27" s="298"/>
      <c r="H27" s="298"/>
      <c r="I27" s="298"/>
      <c r="J27" s="298"/>
      <c r="K27" s="298"/>
      <c r="L27" s="297"/>
      <c r="M27" s="298"/>
      <c r="N27" s="298"/>
      <c r="O27" s="298"/>
      <c r="P27" s="298"/>
      <c r="Q27" s="298"/>
      <c r="R27" s="298"/>
      <c r="S27" s="298"/>
      <c r="T27" s="299"/>
    </row>
    <row r="28" spans="2:20" x14ac:dyDescent="0.2">
      <c r="B28" s="84" t="s">
        <v>140</v>
      </c>
      <c r="C28" s="304" t="s">
        <v>210</v>
      </c>
      <c r="D28" s="305"/>
      <c r="E28" s="305"/>
      <c r="F28" s="305"/>
      <c r="G28" s="305"/>
      <c r="H28" s="305"/>
      <c r="I28" s="305"/>
      <c r="J28" s="305"/>
      <c r="K28" s="305"/>
      <c r="L28" s="304" t="s">
        <v>219</v>
      </c>
      <c r="M28" s="305"/>
      <c r="N28" s="305"/>
      <c r="O28" s="305"/>
      <c r="P28" s="305"/>
      <c r="Q28" s="305"/>
      <c r="R28" s="305"/>
      <c r="S28" s="305"/>
      <c r="T28" s="309"/>
    </row>
    <row r="29" spans="2:20" x14ac:dyDescent="0.2">
      <c r="B29" s="88" t="s">
        <v>185</v>
      </c>
      <c r="C29" s="297" t="s">
        <v>211</v>
      </c>
      <c r="D29" s="298"/>
      <c r="E29" s="298"/>
      <c r="F29" s="298"/>
      <c r="G29" s="298"/>
      <c r="H29" s="298"/>
      <c r="I29" s="298"/>
      <c r="J29" s="298"/>
      <c r="K29" s="298"/>
      <c r="L29" s="297" t="s">
        <v>220</v>
      </c>
      <c r="M29" s="298"/>
      <c r="N29" s="298"/>
      <c r="O29" s="298"/>
      <c r="P29" s="298"/>
      <c r="Q29" s="298"/>
      <c r="R29" s="298"/>
      <c r="S29" s="298"/>
      <c r="T29" s="299"/>
    </row>
    <row r="30" spans="2:20" x14ac:dyDescent="0.2">
      <c r="B30" s="88"/>
      <c r="C30" s="297"/>
      <c r="D30" s="298"/>
      <c r="E30" s="298"/>
      <c r="F30" s="298"/>
      <c r="G30" s="298"/>
      <c r="H30" s="298"/>
      <c r="I30" s="298"/>
      <c r="J30" s="298"/>
      <c r="K30" s="298"/>
      <c r="L30" s="297"/>
      <c r="M30" s="298"/>
      <c r="N30" s="298"/>
      <c r="O30" s="298"/>
      <c r="P30" s="298"/>
      <c r="Q30" s="298"/>
      <c r="R30" s="298"/>
      <c r="S30" s="298"/>
      <c r="T30" s="299"/>
    </row>
    <row r="31" spans="2:20" x14ac:dyDescent="0.2">
      <c r="B31" s="88"/>
      <c r="C31" s="297" t="s">
        <v>212</v>
      </c>
      <c r="D31" s="298"/>
      <c r="E31" s="298"/>
      <c r="F31" s="298"/>
      <c r="G31" s="298"/>
      <c r="H31" s="298"/>
      <c r="I31" s="298"/>
      <c r="J31" s="298"/>
      <c r="K31" s="298"/>
      <c r="L31" s="297"/>
      <c r="M31" s="298"/>
      <c r="N31" s="298"/>
      <c r="O31" s="298"/>
      <c r="P31" s="298"/>
      <c r="Q31" s="298"/>
      <c r="R31" s="298"/>
      <c r="S31" s="298"/>
      <c r="T31" s="299"/>
    </row>
    <row r="32" spans="2:20" ht="16" thickBot="1" x14ac:dyDescent="0.25">
      <c r="B32" s="90" t="s">
        <v>186</v>
      </c>
      <c r="C32" s="294" t="s">
        <v>214</v>
      </c>
      <c r="D32" s="295"/>
      <c r="E32" s="295"/>
      <c r="F32" s="295"/>
      <c r="G32" s="295"/>
      <c r="H32" s="295"/>
      <c r="I32" s="295"/>
      <c r="J32" s="295"/>
      <c r="K32" s="295"/>
      <c r="L32" s="294" t="s">
        <v>221</v>
      </c>
      <c r="M32" s="295"/>
      <c r="N32" s="295"/>
      <c r="O32" s="295"/>
      <c r="P32" s="295"/>
      <c r="Q32" s="295"/>
      <c r="R32" s="295"/>
      <c r="S32" s="295"/>
      <c r="T32" s="296"/>
    </row>
    <row r="34" spans="2:3" x14ac:dyDescent="0.2">
      <c r="B34" s="52" t="s">
        <v>225</v>
      </c>
    </row>
    <row r="35" spans="2:3" ht="16" thickBot="1" x14ac:dyDescent="0.25">
      <c r="B35" s="52"/>
    </row>
    <row r="36" spans="2:3" ht="16" thickBot="1" x14ac:dyDescent="0.25">
      <c r="B36" s="2" t="s">
        <v>226</v>
      </c>
      <c r="C36" s="149">
        <f>FIND("_",B17)</f>
        <v>10</v>
      </c>
    </row>
    <row r="37" spans="2:3" ht="16" thickBot="1" x14ac:dyDescent="0.25">
      <c r="B37" s="2" t="s">
        <v>227</v>
      </c>
      <c r="C37" s="149">
        <f>FIND("_",B17,FIND("_",B17)+1)</f>
        <v>15</v>
      </c>
    </row>
    <row r="39" spans="2:3" x14ac:dyDescent="0.2">
      <c r="B39" s="52" t="s">
        <v>228</v>
      </c>
    </row>
    <row r="40" spans="2:3" ht="16" thickBot="1" x14ac:dyDescent="0.25">
      <c r="B40" s="52"/>
    </row>
    <row r="41" spans="2:3" ht="16" thickBot="1" x14ac:dyDescent="0.25">
      <c r="B41" s="2" t="s">
        <v>229</v>
      </c>
      <c r="C41" s="149">
        <f>LEN(C17)</f>
        <v>9</v>
      </c>
    </row>
    <row r="42" spans="2:3" ht="16" thickBot="1" x14ac:dyDescent="0.25">
      <c r="B42" s="2" t="s">
        <v>230</v>
      </c>
      <c r="C42" s="149">
        <f>LEN(B17)</f>
        <v>19</v>
      </c>
    </row>
    <row r="44" spans="2:3" x14ac:dyDescent="0.2">
      <c r="B44" s="2" t="s">
        <v>224</v>
      </c>
    </row>
    <row r="46" spans="2:3" ht="19" x14ac:dyDescent="0.25">
      <c r="B46" s="1" t="s">
        <v>158</v>
      </c>
    </row>
    <row r="48" spans="2:3" x14ac:dyDescent="0.2">
      <c r="B48" s="2" t="s">
        <v>222</v>
      </c>
    </row>
    <row r="50" spans="2:18" x14ac:dyDescent="0.2">
      <c r="B50" s="313" t="s">
        <v>853</v>
      </c>
      <c r="C50" s="313"/>
      <c r="L50" s="360"/>
      <c r="M50" s="360"/>
      <c r="N50" s="360"/>
    </row>
    <row r="51" spans="2:18" x14ac:dyDescent="0.2">
      <c r="B51" s="313" t="s">
        <v>854</v>
      </c>
      <c r="C51" s="313"/>
      <c r="L51" s="360"/>
      <c r="M51" s="360"/>
      <c r="N51" s="360"/>
    </row>
    <row r="52" spans="2:18" x14ac:dyDescent="0.2">
      <c r="B52" s="313" t="s">
        <v>855</v>
      </c>
      <c r="C52" s="313"/>
      <c r="L52" s="360"/>
      <c r="M52" s="360"/>
      <c r="N52" s="360"/>
    </row>
    <row r="53" spans="2:18" x14ac:dyDescent="0.2">
      <c r="B53" s="313" t="s">
        <v>856</v>
      </c>
      <c r="C53" s="313"/>
      <c r="L53" s="360"/>
      <c r="M53" s="360"/>
      <c r="N53" s="360"/>
    </row>
    <row r="54" spans="2:18" x14ac:dyDescent="0.2">
      <c r="B54" s="313" t="s">
        <v>857</v>
      </c>
      <c r="C54" s="313"/>
      <c r="L54" s="360"/>
      <c r="M54" s="360"/>
      <c r="N54" s="360"/>
    </row>
    <row r="55" spans="2:18" x14ac:dyDescent="0.2">
      <c r="B55" s="313" t="s">
        <v>858</v>
      </c>
      <c r="C55" s="313"/>
      <c r="L55" s="360"/>
      <c r="M55" s="360"/>
      <c r="N55" s="360"/>
    </row>
    <row r="56" spans="2:18" x14ac:dyDescent="0.2">
      <c r="B56" s="313" t="s">
        <v>859</v>
      </c>
      <c r="C56" s="313"/>
      <c r="L56" s="360"/>
      <c r="M56" s="360"/>
      <c r="N56" s="360"/>
    </row>
    <row r="57" spans="2:18" x14ac:dyDescent="0.2">
      <c r="B57" s="313" t="s">
        <v>860</v>
      </c>
      <c r="C57" s="313"/>
    </row>
    <row r="58" spans="2:18" x14ac:dyDescent="0.2">
      <c r="B58" s="313" t="s">
        <v>861</v>
      </c>
      <c r="C58" s="313"/>
    </row>
    <row r="59" spans="2:18" x14ac:dyDescent="0.2">
      <c r="B59" s="313" t="s">
        <v>862</v>
      </c>
      <c r="C59" s="313"/>
    </row>
    <row r="61" spans="2:18" x14ac:dyDescent="0.2">
      <c r="B61" s="52" t="s">
        <v>822</v>
      </c>
      <c r="F61" s="52" t="s">
        <v>823</v>
      </c>
      <c r="L61" s="52" t="s">
        <v>824</v>
      </c>
    </row>
    <row r="62" spans="2:18" ht="16" thickBot="1" x14ac:dyDescent="0.25"/>
    <row r="63" spans="2:18" ht="16" thickBot="1" x14ac:dyDescent="0.25">
      <c r="B63" s="93" t="str">
        <f>RIGHT(B50,5)</f>
        <v>10001</v>
      </c>
      <c r="F63" s="314" t="str">
        <f>MID(B50,2,FIND(",",B50)-2)</f>
        <v>Smith</v>
      </c>
      <c r="G63" s="315"/>
      <c r="H63" s="316"/>
      <c r="L63" s="314" t="str">
        <f>MID($B50, FIND(",",$B50)+2, FIND("]",$B50)-FIND(",",$B50)-2)</f>
        <v>Jeremiah</v>
      </c>
      <c r="M63" s="315"/>
      <c r="N63" s="316"/>
      <c r="P63" s="361"/>
      <c r="Q63" s="361"/>
      <c r="R63" s="361"/>
    </row>
    <row r="64" spans="2:18" ht="16" thickBot="1" x14ac:dyDescent="0.25">
      <c r="B64" s="93" t="str">
        <f t="shared" ref="B64:B72" si="3">RIGHT(B51,5)</f>
        <v>10002</v>
      </c>
      <c r="F64" s="314" t="str">
        <f t="shared" ref="F64:F71" si="4">MID(B51,2,FIND(",",B51)-2)</f>
        <v>De Rosso</v>
      </c>
      <c r="G64" s="315"/>
      <c r="H64" s="316"/>
      <c r="L64" s="314" t="str">
        <f t="shared" ref="L64:L72" si="5">MID($B51, FIND(",",$B51)+2, FIND("]",$B51)-FIND(",",$B51)-2)</f>
        <v>Ana</v>
      </c>
      <c r="M64" s="315"/>
      <c r="N64" s="316"/>
    </row>
    <row r="65" spans="2:14" ht="16" thickBot="1" x14ac:dyDescent="0.25">
      <c r="B65" s="93" t="str">
        <f t="shared" si="3"/>
        <v>10003</v>
      </c>
      <c r="F65" s="314" t="str">
        <f t="shared" si="4"/>
        <v>Lee</v>
      </c>
      <c r="G65" s="315"/>
      <c r="H65" s="316"/>
      <c r="L65" s="314" t="str">
        <f t="shared" si="5"/>
        <v>David</v>
      </c>
      <c r="M65" s="315"/>
      <c r="N65" s="316"/>
    </row>
    <row r="66" spans="2:14" ht="16" thickBot="1" x14ac:dyDescent="0.25">
      <c r="B66" s="93" t="str">
        <f t="shared" si="3"/>
        <v>10004</v>
      </c>
      <c r="F66" s="314" t="str">
        <f t="shared" si="4"/>
        <v>Thomson</v>
      </c>
      <c r="G66" s="315"/>
      <c r="H66" s="316"/>
      <c r="L66" s="314" t="str">
        <f t="shared" si="5"/>
        <v>Aidan</v>
      </c>
      <c r="M66" s="315"/>
      <c r="N66" s="316"/>
    </row>
    <row r="67" spans="2:14" ht="16" thickBot="1" x14ac:dyDescent="0.25">
      <c r="B67" s="93" t="str">
        <f t="shared" si="3"/>
        <v>10005</v>
      </c>
      <c r="F67" s="314" t="str">
        <f t="shared" si="4"/>
        <v>Bradley</v>
      </c>
      <c r="G67" s="315"/>
      <c r="H67" s="316"/>
      <c r="L67" s="314" t="str">
        <f t="shared" si="5"/>
        <v>Gabriel</v>
      </c>
      <c r="M67" s="315"/>
      <c r="N67" s="316"/>
    </row>
    <row r="68" spans="2:14" ht="16" thickBot="1" x14ac:dyDescent="0.25">
      <c r="B68" s="93" t="str">
        <f t="shared" si="3"/>
        <v>10006</v>
      </c>
      <c r="F68" s="314" t="str">
        <f t="shared" si="4"/>
        <v>Richardson</v>
      </c>
      <c r="G68" s="315"/>
      <c r="H68" s="316"/>
      <c r="L68" s="314" t="str">
        <f t="shared" si="5"/>
        <v>Paige</v>
      </c>
      <c r="M68" s="315"/>
      <c r="N68" s="316"/>
    </row>
    <row r="69" spans="2:14" ht="16" thickBot="1" x14ac:dyDescent="0.25">
      <c r="B69" s="93" t="str">
        <f t="shared" si="3"/>
        <v>10007</v>
      </c>
      <c r="F69" s="314" t="str">
        <f t="shared" si="4"/>
        <v>McBride</v>
      </c>
      <c r="G69" s="315"/>
      <c r="H69" s="316"/>
      <c r="L69" s="314" t="str">
        <f t="shared" si="5"/>
        <v>Kash</v>
      </c>
      <c r="M69" s="315"/>
      <c r="N69" s="316"/>
    </row>
    <row r="70" spans="2:14" ht="16" thickBot="1" x14ac:dyDescent="0.25">
      <c r="B70" s="93" t="str">
        <f t="shared" si="3"/>
        <v>10008</v>
      </c>
      <c r="F70" s="314" t="str">
        <f t="shared" si="4"/>
        <v>Shaffer</v>
      </c>
      <c r="G70" s="315"/>
      <c r="H70" s="316"/>
      <c r="L70" s="314" t="str">
        <f t="shared" si="5"/>
        <v>Karla</v>
      </c>
      <c r="M70" s="315"/>
      <c r="N70" s="316"/>
    </row>
    <row r="71" spans="2:14" ht="16" thickBot="1" x14ac:dyDescent="0.25">
      <c r="B71" s="93" t="str">
        <f t="shared" si="3"/>
        <v>10009</v>
      </c>
      <c r="F71" s="314" t="str">
        <f t="shared" si="4"/>
        <v>Watts</v>
      </c>
      <c r="G71" s="315"/>
      <c r="H71" s="316"/>
      <c r="L71" s="314" t="str">
        <f t="shared" si="5"/>
        <v>Chloe</v>
      </c>
      <c r="M71" s="315"/>
      <c r="N71" s="316"/>
    </row>
    <row r="72" spans="2:14" ht="16" thickBot="1" x14ac:dyDescent="0.25">
      <c r="B72" s="93" t="str">
        <f t="shared" si="3"/>
        <v>10010</v>
      </c>
      <c r="F72" s="314" t="str">
        <f>MID(B59,2,FIND(",",B59)-2)</f>
        <v>Armstrong</v>
      </c>
      <c r="G72" s="315"/>
      <c r="H72" s="316"/>
      <c r="L72" s="314" t="str">
        <f t="shared" si="5"/>
        <v>Logan</v>
      </c>
      <c r="M72" s="315"/>
      <c r="N72" s="316"/>
    </row>
    <row r="73" spans="2:14" x14ac:dyDescent="0.2">
      <c r="B73" s="89"/>
      <c r="F73" s="89"/>
      <c r="G73" s="89"/>
      <c r="H73" s="89"/>
      <c r="L73" s="89"/>
      <c r="M73" s="89"/>
      <c r="N73" s="89"/>
    </row>
  </sheetData>
  <mergeCells count="77">
    <mergeCell ref="L68:N68"/>
    <mergeCell ref="L69:N69"/>
    <mergeCell ref="L70:N70"/>
    <mergeCell ref="L71:N71"/>
    <mergeCell ref="L72:N72"/>
    <mergeCell ref="F68:H68"/>
    <mergeCell ref="F69:H69"/>
    <mergeCell ref="F70:H70"/>
    <mergeCell ref="F71:H71"/>
    <mergeCell ref="F72:H72"/>
    <mergeCell ref="L63:N63"/>
    <mergeCell ref="L64:N64"/>
    <mergeCell ref="L65:N65"/>
    <mergeCell ref="L66:N66"/>
    <mergeCell ref="L67:N67"/>
    <mergeCell ref="F63:H63"/>
    <mergeCell ref="F64:H64"/>
    <mergeCell ref="F65:H65"/>
    <mergeCell ref="F66:H66"/>
    <mergeCell ref="F67:H67"/>
    <mergeCell ref="B57:C57"/>
    <mergeCell ref="B55:C55"/>
    <mergeCell ref="B54:C54"/>
    <mergeCell ref="B58:C58"/>
    <mergeCell ref="B59:C59"/>
    <mergeCell ref="B56:C56"/>
    <mergeCell ref="L32:T32"/>
    <mergeCell ref="B50:C50"/>
    <mergeCell ref="B51:C51"/>
    <mergeCell ref="B52:C52"/>
    <mergeCell ref="B53:C53"/>
    <mergeCell ref="C32:K32"/>
    <mergeCell ref="B26:B27"/>
    <mergeCell ref="C26:K27"/>
    <mergeCell ref="C31:K31"/>
    <mergeCell ref="L23:T23"/>
    <mergeCell ref="L25:T25"/>
    <mergeCell ref="L26:T27"/>
    <mergeCell ref="L28:T28"/>
    <mergeCell ref="L29:T30"/>
    <mergeCell ref="L31:T31"/>
    <mergeCell ref="C23:K23"/>
    <mergeCell ref="C25:K25"/>
    <mergeCell ref="C28:K28"/>
    <mergeCell ref="C29:K30"/>
    <mergeCell ref="G18:H18"/>
    <mergeCell ref="G19:H19"/>
    <mergeCell ref="G20:H20"/>
    <mergeCell ref="G21:H21"/>
    <mergeCell ref="E16:F16"/>
    <mergeCell ref="E17:F17"/>
    <mergeCell ref="E18:F18"/>
    <mergeCell ref="E19:F19"/>
    <mergeCell ref="E20:F20"/>
    <mergeCell ref="E21:F21"/>
    <mergeCell ref="G17:H17"/>
    <mergeCell ref="C17:D17"/>
    <mergeCell ref="C18:D18"/>
    <mergeCell ref="C19:D19"/>
    <mergeCell ref="C20:D20"/>
    <mergeCell ref="C21:D21"/>
    <mergeCell ref="B2:C2"/>
    <mergeCell ref="L12:S12"/>
    <mergeCell ref="L11:S11"/>
    <mergeCell ref="L4:S4"/>
    <mergeCell ref="C16:D16"/>
    <mergeCell ref="G16:H16"/>
    <mergeCell ref="C12:K12"/>
    <mergeCell ref="C9:K10"/>
    <mergeCell ref="C4:K4"/>
    <mergeCell ref="C7:K7"/>
    <mergeCell ref="C8:K8"/>
    <mergeCell ref="C6:K6"/>
    <mergeCell ref="L6:S6"/>
    <mergeCell ref="L7:S7"/>
    <mergeCell ref="L8:S8"/>
    <mergeCell ref="L9:S10"/>
  </mergeCells>
  <conditionalFormatting sqref="C36">
    <cfRule type="cellIs" dxfId="11" priority="15" operator="notEqual">
      <formula>10</formula>
    </cfRule>
    <cfRule type="cellIs" dxfId="10" priority="16" operator="equal">
      <formula>10</formula>
    </cfRule>
  </conditionalFormatting>
  <conditionalFormatting sqref="C37">
    <cfRule type="cellIs" dxfId="9" priority="9" operator="notEqual">
      <formula>15</formula>
    </cfRule>
    <cfRule type="cellIs" dxfId="8" priority="10" operator="equal">
      <formula>15</formula>
    </cfRule>
  </conditionalFormatting>
  <conditionalFormatting sqref="C41">
    <cfRule type="cellIs" dxfId="7" priority="5" operator="notEqual">
      <formula>9</formula>
    </cfRule>
    <cfRule type="cellIs" dxfId="6" priority="6" operator="equal">
      <formula>9</formula>
    </cfRule>
  </conditionalFormatting>
  <conditionalFormatting sqref="C42">
    <cfRule type="cellIs" dxfId="5" priority="3" operator="notEqual">
      <formula>19</formula>
    </cfRule>
    <cfRule type="cellIs" dxfId="4" priority="4" operator="equal">
      <formula>19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F672-7909-4E9A-828F-2732B97B80A6}">
  <dimension ref="A2:J49"/>
  <sheetViews>
    <sheetView topLeftCell="A21" zoomScale="130" zoomScaleNormal="130" workbookViewId="0">
      <selection activeCell="F31" sqref="F31"/>
    </sheetView>
  </sheetViews>
  <sheetFormatPr baseColWidth="10" defaultColWidth="8.6640625" defaultRowHeight="15" x14ac:dyDescent="0.2"/>
  <cols>
    <col min="1" max="1" width="2.6640625" style="2" customWidth="1"/>
    <col min="2" max="2" width="17.1640625" style="2" customWidth="1"/>
    <col min="3" max="3" width="11" style="2" bestFit="1" customWidth="1"/>
    <col min="4" max="5" width="8.6640625" style="2"/>
    <col min="6" max="7" width="18.6640625" style="2" customWidth="1"/>
    <col min="8" max="8" width="12.83203125" style="2" customWidth="1"/>
    <col min="9" max="9" width="12.1640625" style="2" customWidth="1"/>
    <col min="10" max="11" width="9" style="2" customWidth="1"/>
    <col min="12" max="16384" width="8.6640625" style="2"/>
  </cols>
  <sheetData>
    <row r="2" spans="2:9" ht="21" x14ac:dyDescent="0.25">
      <c r="B2" s="63" t="s">
        <v>241</v>
      </c>
      <c r="C2" s="52"/>
      <c r="D2" s="52"/>
      <c r="E2" s="52"/>
    </row>
    <row r="3" spans="2:9" ht="14.5" customHeight="1" thickBot="1" x14ac:dyDescent="0.3">
      <c r="B3" s="82"/>
      <c r="C3" s="65"/>
      <c r="D3" s="65"/>
      <c r="E3" s="65"/>
    </row>
    <row r="4" spans="2:9" ht="14.5" customHeight="1" x14ac:dyDescent="0.2">
      <c r="B4" s="331" t="s">
        <v>141</v>
      </c>
      <c r="C4" s="320" t="s">
        <v>242</v>
      </c>
      <c r="D4" s="307"/>
      <c r="E4" s="307"/>
      <c r="F4" s="307"/>
      <c r="G4" s="307"/>
      <c r="H4" s="308"/>
      <c r="I4" s="103"/>
    </row>
    <row r="5" spans="2:9" ht="14.5" customHeight="1" x14ac:dyDescent="0.2">
      <c r="B5" s="332"/>
      <c r="C5" s="321"/>
      <c r="D5" s="322"/>
      <c r="E5" s="322"/>
      <c r="F5" s="322"/>
      <c r="G5" s="322"/>
      <c r="H5" s="323"/>
      <c r="I5" s="103"/>
    </row>
    <row r="6" spans="2:9" ht="14.5" customHeight="1" x14ac:dyDescent="0.2">
      <c r="B6" s="333" t="s">
        <v>142</v>
      </c>
      <c r="C6" s="324" t="s">
        <v>263</v>
      </c>
      <c r="D6" s="298"/>
      <c r="E6" s="298"/>
      <c r="F6" s="298"/>
      <c r="G6" s="298"/>
      <c r="H6" s="87"/>
    </row>
    <row r="7" spans="2:9" x14ac:dyDescent="0.2">
      <c r="B7" s="334"/>
      <c r="C7" s="325"/>
      <c r="D7" s="168"/>
      <c r="E7" s="168"/>
      <c r="F7" s="168"/>
      <c r="G7" s="168"/>
      <c r="H7" s="104"/>
    </row>
    <row r="8" spans="2:9" ht="14.5" customHeight="1" x14ac:dyDescent="0.2">
      <c r="B8" s="318" t="s">
        <v>143</v>
      </c>
      <c r="C8" s="326" t="s">
        <v>833</v>
      </c>
      <c r="D8" s="327"/>
      <c r="E8" s="327"/>
      <c r="F8" s="327"/>
      <c r="G8" s="327"/>
      <c r="H8" s="328"/>
    </row>
    <row r="9" spans="2:9" ht="16" thickBot="1" x14ac:dyDescent="0.25">
      <c r="B9" s="319"/>
      <c r="C9" s="329"/>
      <c r="D9" s="175"/>
      <c r="E9" s="175"/>
      <c r="F9" s="175"/>
      <c r="G9" s="175"/>
      <c r="H9" s="330"/>
    </row>
    <row r="10" spans="2:9" x14ac:dyDescent="0.2">
      <c r="B10" s="61"/>
    </row>
    <row r="11" spans="2:9" x14ac:dyDescent="0.2">
      <c r="B11" s="52" t="s">
        <v>245</v>
      </c>
    </row>
    <row r="12" spans="2:9" x14ac:dyDescent="0.2">
      <c r="B12" s="52"/>
    </row>
    <row r="13" spans="2:9" x14ac:dyDescent="0.2">
      <c r="B13" s="2" t="s">
        <v>244</v>
      </c>
    </row>
    <row r="14" spans="2:9" x14ac:dyDescent="0.2">
      <c r="B14" s="52" t="s">
        <v>264</v>
      </c>
    </row>
    <row r="15" spans="2:9" x14ac:dyDescent="0.2">
      <c r="B15" s="52" t="s">
        <v>265</v>
      </c>
    </row>
    <row r="16" spans="2:9" x14ac:dyDescent="0.2">
      <c r="B16" s="52" t="s">
        <v>266</v>
      </c>
    </row>
    <row r="17" spans="2:4" ht="16" thickBot="1" x14ac:dyDescent="0.25"/>
    <row r="18" spans="2:4" x14ac:dyDescent="0.2">
      <c r="B18" s="105" t="s">
        <v>246</v>
      </c>
      <c r="C18" s="106" t="s">
        <v>247</v>
      </c>
      <c r="D18" s="107" t="s">
        <v>248</v>
      </c>
    </row>
    <row r="19" spans="2:4" x14ac:dyDescent="0.2">
      <c r="B19" s="108" t="s">
        <v>251</v>
      </c>
      <c r="C19" s="109">
        <v>0.95</v>
      </c>
      <c r="D19" s="110">
        <v>0.1</v>
      </c>
    </row>
    <row r="20" spans="2:4" x14ac:dyDescent="0.2">
      <c r="B20" s="111" t="s">
        <v>249</v>
      </c>
      <c r="C20" s="112">
        <v>0.85</v>
      </c>
      <c r="D20" s="113">
        <v>0.25</v>
      </c>
    </row>
    <row r="21" spans="2:4" x14ac:dyDescent="0.2">
      <c r="B21" s="108" t="s">
        <v>250</v>
      </c>
      <c r="C21" s="109">
        <v>0.92</v>
      </c>
      <c r="D21" s="110">
        <v>0.25</v>
      </c>
    </row>
    <row r="22" spans="2:4" ht="16" thickBot="1" x14ac:dyDescent="0.25">
      <c r="B22" s="114" t="s">
        <v>252</v>
      </c>
      <c r="C22" s="115">
        <v>0.90624999999999989</v>
      </c>
      <c r="D22" s="116">
        <v>0.4</v>
      </c>
    </row>
    <row r="23" spans="2:4" x14ac:dyDescent="0.2">
      <c r="B23" s="52" t="s">
        <v>253</v>
      </c>
      <c r="C23" s="117">
        <f>C19*D19+C20*D20+C21*D21+C22*D22</f>
        <v>0.89999999999999991</v>
      </c>
    </row>
    <row r="24" spans="2:4" x14ac:dyDescent="0.2">
      <c r="B24" s="52"/>
      <c r="C24" s="118"/>
    </row>
    <row r="25" spans="2:4" x14ac:dyDescent="0.2">
      <c r="B25" s="52" t="s">
        <v>238</v>
      </c>
      <c r="C25" s="118"/>
    </row>
    <row r="26" spans="2:4" x14ac:dyDescent="0.2">
      <c r="B26" s="2" t="s">
        <v>254</v>
      </c>
      <c r="C26" s="118"/>
    </row>
    <row r="27" spans="2:4" x14ac:dyDescent="0.2">
      <c r="B27" s="2" t="s">
        <v>239</v>
      </c>
      <c r="C27" s="118"/>
    </row>
    <row r="28" spans="2:4" x14ac:dyDescent="0.2">
      <c r="B28" s="2" t="s">
        <v>267</v>
      </c>
      <c r="C28" s="118"/>
    </row>
    <row r="29" spans="2:4" x14ac:dyDescent="0.2">
      <c r="B29" s="2" t="s">
        <v>268</v>
      </c>
    </row>
    <row r="30" spans="2:4" x14ac:dyDescent="0.2">
      <c r="B30" s="2" t="s">
        <v>269</v>
      </c>
    </row>
    <row r="31" spans="2:4" x14ac:dyDescent="0.2">
      <c r="B31" s="2" t="s">
        <v>240</v>
      </c>
    </row>
    <row r="33" spans="1:10" x14ac:dyDescent="0.2">
      <c r="B33" s="52" t="s">
        <v>243</v>
      </c>
    </row>
    <row r="34" spans="1:10" x14ac:dyDescent="0.2">
      <c r="B34" s="52"/>
    </row>
    <row r="35" spans="1:10" x14ac:dyDescent="0.2">
      <c r="B35" s="2" t="s">
        <v>244</v>
      </c>
    </row>
    <row r="36" spans="1:10" x14ac:dyDescent="0.2">
      <c r="B36" s="52" t="s">
        <v>270</v>
      </c>
    </row>
    <row r="37" spans="1:10" x14ac:dyDescent="0.2">
      <c r="B37" s="2" t="s">
        <v>262</v>
      </c>
    </row>
    <row r="38" spans="1:10" x14ac:dyDescent="0.2">
      <c r="B38" s="2" t="s">
        <v>255</v>
      </c>
    </row>
    <row r="39" spans="1:10" ht="16" thickBot="1" x14ac:dyDescent="0.25"/>
    <row r="40" spans="1:10" x14ac:dyDescent="0.2">
      <c r="B40" s="105" t="s">
        <v>259</v>
      </c>
      <c r="C40" s="106" t="s">
        <v>257</v>
      </c>
      <c r="F40" s="105" t="s">
        <v>259</v>
      </c>
      <c r="G40" s="107" t="s">
        <v>257</v>
      </c>
      <c r="H40" s="360"/>
      <c r="I40" s="360"/>
    </row>
    <row r="41" spans="1:10" x14ac:dyDescent="0.2">
      <c r="B41" s="108" t="s">
        <v>256</v>
      </c>
      <c r="C41" s="119">
        <v>400000</v>
      </c>
      <c r="D41" s="2" t="s">
        <v>223</v>
      </c>
      <c r="F41" s="108" t="s">
        <v>256</v>
      </c>
      <c r="G41" s="363">
        <v>600000</v>
      </c>
      <c r="H41" s="362"/>
      <c r="I41" s="360"/>
    </row>
    <row r="42" spans="1:10" x14ac:dyDescent="0.2">
      <c r="B42" s="111" t="s">
        <v>258</v>
      </c>
      <c r="C42" s="120">
        <v>30</v>
      </c>
      <c r="F42" s="111" t="s">
        <v>258</v>
      </c>
      <c r="G42" s="364">
        <v>15</v>
      </c>
      <c r="H42" s="360"/>
      <c r="I42" s="360"/>
    </row>
    <row r="43" spans="1:10" ht="16" thickBot="1" x14ac:dyDescent="0.25">
      <c r="A43" s="121"/>
      <c r="B43" s="122" t="s">
        <v>260</v>
      </c>
      <c r="C43" s="123">
        <v>4.3871154226978334E-2</v>
      </c>
      <c r="F43" s="365" t="s">
        <v>260</v>
      </c>
      <c r="G43" s="366">
        <v>5.8045375108250086E-2</v>
      </c>
      <c r="H43" s="360"/>
      <c r="I43" s="360"/>
    </row>
    <row r="44" spans="1:10" x14ac:dyDescent="0.2">
      <c r="B44" s="52" t="s">
        <v>261</v>
      </c>
      <c r="C44" s="124">
        <f>PMT(C43/12, C42*12, -C41)</f>
        <v>2000.0004438337332</v>
      </c>
      <c r="F44" s="52" t="s">
        <v>261</v>
      </c>
      <c r="G44" s="124">
        <f>PMT(G43/12, G42*12, -G41)</f>
        <v>4999.9996736534285</v>
      </c>
      <c r="H44" s="360"/>
      <c r="I44" s="360"/>
    </row>
    <row r="45" spans="1:10" ht="16" thickBot="1" x14ac:dyDescent="0.25"/>
    <row r="46" spans="1:10" ht="16" thickBot="1" x14ac:dyDescent="0.25">
      <c r="B46" s="52" t="s">
        <v>825</v>
      </c>
      <c r="J46" s="125">
        <v>4.3900000000000002E-2</v>
      </c>
    </row>
    <row r="47" spans="1:10" ht="16" thickBot="1" x14ac:dyDescent="0.25"/>
    <row r="48" spans="1:10" ht="16" thickBot="1" x14ac:dyDescent="0.25">
      <c r="B48" s="317" t="s">
        <v>826</v>
      </c>
      <c r="C48" s="317"/>
      <c r="D48" s="317"/>
      <c r="E48" s="317"/>
      <c r="F48" s="317"/>
      <c r="G48" s="317"/>
      <c r="H48" s="317"/>
      <c r="I48" s="317"/>
      <c r="J48" s="125">
        <v>5.8000000000000003E-2</v>
      </c>
    </row>
    <row r="49" spans="2:9" x14ac:dyDescent="0.2">
      <c r="B49" s="317"/>
      <c r="C49" s="317"/>
      <c r="D49" s="317"/>
      <c r="E49" s="317"/>
      <c r="F49" s="317"/>
      <c r="G49" s="317"/>
      <c r="H49" s="317"/>
      <c r="I49" s="317"/>
    </row>
  </sheetData>
  <mergeCells count="7">
    <mergeCell ref="B48:I49"/>
    <mergeCell ref="B8:B9"/>
    <mergeCell ref="C4:H5"/>
    <mergeCell ref="C6:G7"/>
    <mergeCell ref="C8:H9"/>
    <mergeCell ref="B4:B5"/>
    <mergeCell ref="B6:B7"/>
  </mergeCells>
  <conditionalFormatting sqref="J46">
    <cfRule type="cellIs" dxfId="3" priority="3" operator="notEqual">
      <formula>4.39%</formula>
    </cfRule>
    <cfRule type="cellIs" dxfId="2" priority="4" operator="equal">
      <formula>4.39%</formula>
    </cfRule>
  </conditionalFormatting>
  <conditionalFormatting sqref="J48">
    <cfRule type="cellIs" dxfId="1" priority="1" operator="notEqual">
      <formula>0.058</formula>
    </cfRule>
    <cfRule type="cellIs" dxfId="0" priority="2" operator="equal">
      <formula>0.058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28DD-4A8D-4C6D-9A11-83629EC4875D}">
  <dimension ref="B2:I45"/>
  <sheetViews>
    <sheetView topLeftCell="A13" zoomScale="115" zoomScaleNormal="115" workbookViewId="0">
      <selection activeCell="E42" sqref="E42"/>
    </sheetView>
  </sheetViews>
  <sheetFormatPr baseColWidth="10" defaultColWidth="8.6640625" defaultRowHeight="15" x14ac:dyDescent="0.2"/>
  <cols>
    <col min="1" max="1" width="2.6640625" style="2" customWidth="1"/>
    <col min="2" max="2" width="17.1640625" style="2" customWidth="1"/>
    <col min="3" max="3" width="11" style="2" bestFit="1" customWidth="1"/>
    <col min="4" max="4" width="8.6640625" style="2"/>
    <col min="5" max="5" width="13.1640625" style="2" bestFit="1" customWidth="1"/>
    <col min="6" max="6" width="14.1640625" style="2" customWidth="1"/>
    <col min="7" max="7" width="8.6640625" style="2"/>
    <col min="8" max="8" width="17.83203125" style="2" customWidth="1"/>
    <col min="9" max="9" width="12.1640625" style="2" customWidth="1"/>
    <col min="10" max="16384" width="8.6640625" style="2"/>
  </cols>
  <sheetData>
    <row r="2" spans="2:9" ht="21" x14ac:dyDescent="0.25">
      <c r="B2" s="63" t="s">
        <v>271</v>
      </c>
      <c r="C2" s="52"/>
      <c r="D2" s="52"/>
      <c r="E2" s="52"/>
    </row>
    <row r="3" spans="2:9" ht="14.5" customHeight="1" thickBot="1" x14ac:dyDescent="0.3">
      <c r="B3" s="82"/>
      <c r="C3" s="65"/>
      <c r="D3" s="65"/>
      <c r="E3" s="65"/>
    </row>
    <row r="4" spans="2:9" ht="14.5" customHeight="1" x14ac:dyDescent="0.2">
      <c r="B4" s="335" t="s">
        <v>141</v>
      </c>
      <c r="C4" s="320" t="s">
        <v>834</v>
      </c>
      <c r="D4" s="307"/>
      <c r="E4" s="307"/>
      <c r="F4" s="307"/>
      <c r="G4" s="307"/>
      <c r="H4" s="308"/>
      <c r="I4" s="103"/>
    </row>
    <row r="5" spans="2:9" ht="14.5" customHeight="1" x14ac:dyDescent="0.2">
      <c r="B5" s="336"/>
      <c r="C5" s="321"/>
      <c r="D5" s="322"/>
      <c r="E5" s="322"/>
      <c r="F5" s="322"/>
      <c r="G5" s="322"/>
      <c r="H5" s="323"/>
      <c r="I5" s="103"/>
    </row>
    <row r="6" spans="2:9" ht="14.5" customHeight="1" x14ac:dyDescent="0.2">
      <c r="B6" s="337" t="s">
        <v>142</v>
      </c>
      <c r="C6" s="339" t="s">
        <v>835</v>
      </c>
      <c r="D6" s="165"/>
      <c r="E6" s="165"/>
      <c r="F6" s="165"/>
      <c r="G6" s="165"/>
      <c r="H6" s="87"/>
    </row>
    <row r="7" spans="2:9" x14ac:dyDescent="0.2">
      <c r="B7" s="338"/>
      <c r="C7" s="325"/>
      <c r="D7" s="168"/>
      <c r="E7" s="168"/>
      <c r="F7" s="168"/>
      <c r="G7" s="168"/>
      <c r="H7" s="104"/>
    </row>
    <row r="8" spans="2:9" ht="14.5" customHeight="1" x14ac:dyDescent="0.2">
      <c r="B8" s="340" t="s">
        <v>143</v>
      </c>
      <c r="C8" s="342" t="s">
        <v>836</v>
      </c>
      <c r="D8" s="172"/>
      <c r="E8" s="172"/>
      <c r="F8" s="172"/>
      <c r="G8" s="172"/>
      <c r="H8" s="343"/>
    </row>
    <row r="9" spans="2:9" ht="16" thickBot="1" x14ac:dyDescent="0.25">
      <c r="B9" s="341"/>
      <c r="C9" s="329"/>
      <c r="D9" s="175"/>
      <c r="E9" s="175"/>
      <c r="F9" s="175"/>
      <c r="G9" s="175"/>
      <c r="H9" s="330"/>
    </row>
    <row r="10" spans="2:9" x14ac:dyDescent="0.2">
      <c r="B10" s="61"/>
    </row>
    <row r="11" spans="2:9" x14ac:dyDescent="0.2">
      <c r="B11" s="52" t="s">
        <v>231</v>
      </c>
    </row>
    <row r="12" spans="2:9" ht="16" thickBot="1" x14ac:dyDescent="0.25">
      <c r="B12" s="52"/>
    </row>
    <row r="13" spans="2:9" x14ac:dyDescent="0.2">
      <c r="B13" s="127" t="s">
        <v>232</v>
      </c>
      <c r="C13" s="128" t="s">
        <v>233</v>
      </c>
    </row>
    <row r="14" spans="2:9" x14ac:dyDescent="0.2">
      <c r="B14" s="129" t="s">
        <v>272</v>
      </c>
      <c r="C14" s="130">
        <v>2000</v>
      </c>
    </row>
    <row r="15" spans="2:9" x14ac:dyDescent="0.2">
      <c r="B15" s="135" t="s">
        <v>234</v>
      </c>
      <c r="C15" s="136">
        <v>60</v>
      </c>
    </row>
    <row r="16" spans="2:9" x14ac:dyDescent="0.2">
      <c r="B16" s="131" t="s">
        <v>235</v>
      </c>
      <c r="C16" s="132">
        <v>30</v>
      </c>
    </row>
    <row r="17" spans="2:3" x14ac:dyDescent="0.2">
      <c r="B17" s="135" t="s">
        <v>236</v>
      </c>
      <c r="C17" s="136">
        <v>5000</v>
      </c>
    </row>
    <row r="18" spans="2:3" ht="16" thickBot="1" x14ac:dyDescent="0.25">
      <c r="B18" s="133" t="s">
        <v>237</v>
      </c>
      <c r="C18" s="134">
        <f>C15*C14-C16*C14-C17</f>
        <v>55000</v>
      </c>
    </row>
    <row r="19" spans="2:3" x14ac:dyDescent="0.2">
      <c r="B19" s="52"/>
    </row>
    <row r="20" spans="2:3" x14ac:dyDescent="0.2">
      <c r="B20" s="2" t="s">
        <v>244</v>
      </c>
    </row>
    <row r="21" spans="2:3" x14ac:dyDescent="0.2">
      <c r="B21" s="52" t="s">
        <v>273</v>
      </c>
    </row>
    <row r="22" spans="2:3" x14ac:dyDescent="0.2">
      <c r="B22" s="52"/>
    </row>
    <row r="23" spans="2:3" x14ac:dyDescent="0.2">
      <c r="B23" s="52" t="s">
        <v>277</v>
      </c>
    </row>
    <row r="24" spans="2:3" x14ac:dyDescent="0.2">
      <c r="B24" s="2" t="s">
        <v>274</v>
      </c>
    </row>
    <row r="25" spans="2:3" x14ac:dyDescent="0.2">
      <c r="B25" s="2" t="s">
        <v>864</v>
      </c>
    </row>
    <row r="26" spans="2:3" x14ac:dyDescent="0.2">
      <c r="B26" s="2" t="s">
        <v>868</v>
      </c>
    </row>
    <row r="27" spans="2:3" x14ac:dyDescent="0.2">
      <c r="B27" s="2" t="s">
        <v>275</v>
      </c>
    </row>
    <row r="28" spans="2:3" x14ac:dyDescent="0.2">
      <c r="B28" s="2" t="s">
        <v>865</v>
      </c>
    </row>
    <row r="29" spans="2:3" x14ac:dyDescent="0.2">
      <c r="B29" s="2" t="s">
        <v>866</v>
      </c>
    </row>
    <row r="30" spans="2:3" x14ac:dyDescent="0.2">
      <c r="B30" s="2" t="s">
        <v>867</v>
      </c>
    </row>
    <row r="31" spans="2:3" x14ac:dyDescent="0.2">
      <c r="B31" s="2" t="s">
        <v>276</v>
      </c>
    </row>
    <row r="32" spans="2:3" x14ac:dyDescent="0.2">
      <c r="B32" s="52"/>
    </row>
    <row r="33" spans="2:3" x14ac:dyDescent="0.2">
      <c r="B33" s="52" t="s">
        <v>863</v>
      </c>
    </row>
    <row r="34" spans="2:3" x14ac:dyDescent="0.2">
      <c r="B34" s="2" t="s">
        <v>278</v>
      </c>
    </row>
    <row r="35" spans="2:3" x14ac:dyDescent="0.2">
      <c r="B35" s="2" t="s">
        <v>279</v>
      </c>
    </row>
    <row r="38" spans="2:3" x14ac:dyDescent="0.2">
      <c r="B38" s="2" t="s">
        <v>870</v>
      </c>
    </row>
    <row r="39" spans="2:3" ht="16" thickBot="1" x14ac:dyDescent="0.25"/>
    <row r="40" spans="2:3" x14ac:dyDescent="0.2">
      <c r="B40" s="127" t="s">
        <v>232</v>
      </c>
      <c r="C40" s="128" t="s">
        <v>233</v>
      </c>
    </row>
    <row r="41" spans="2:3" x14ac:dyDescent="0.2">
      <c r="B41" s="129" t="s">
        <v>272</v>
      </c>
      <c r="C41" s="130">
        <v>500</v>
      </c>
    </row>
    <row r="42" spans="2:3" x14ac:dyDescent="0.2">
      <c r="B42" s="135" t="s">
        <v>234</v>
      </c>
      <c r="C42" s="136">
        <v>60</v>
      </c>
    </row>
    <row r="43" spans="2:3" x14ac:dyDescent="0.2">
      <c r="B43" s="131" t="s">
        <v>235</v>
      </c>
      <c r="C43" s="132">
        <v>30</v>
      </c>
    </row>
    <row r="44" spans="2:3" x14ac:dyDescent="0.2">
      <c r="B44" s="135" t="s">
        <v>236</v>
      </c>
      <c r="C44" s="136">
        <v>5000</v>
      </c>
    </row>
    <row r="45" spans="2:3" ht="16" thickBot="1" x14ac:dyDescent="0.25">
      <c r="B45" s="133" t="s">
        <v>237</v>
      </c>
      <c r="C45" s="134">
        <f>C42*C41-C43*C41-C44</f>
        <v>10000</v>
      </c>
    </row>
  </sheetData>
  <scenarios current="0">
    <scenario name="Max Target Profit" count="1" user="Microsoft Office User" comment="Created by Microsoft Office User on 9/21/2026">
      <inputCells r="C14" val="200"/>
    </scenario>
  </scenarios>
  <mergeCells count="6">
    <mergeCell ref="B4:B5"/>
    <mergeCell ref="C4:H5"/>
    <mergeCell ref="B6:B7"/>
    <mergeCell ref="C6:G7"/>
    <mergeCell ref="B8:B9"/>
    <mergeCell ref="C8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E595-5473-4C2F-8448-CE8F9F55B592}">
  <dimension ref="A1:M501"/>
  <sheetViews>
    <sheetView zoomScale="125" workbookViewId="0">
      <selection activeCell="D14" sqref="D14"/>
    </sheetView>
  </sheetViews>
  <sheetFormatPr baseColWidth="10" defaultColWidth="8.83203125" defaultRowHeight="15" x14ac:dyDescent="0.2"/>
  <cols>
    <col min="1" max="1" width="10.33203125" customWidth="1"/>
    <col min="2" max="2" width="13" style="137" customWidth="1"/>
    <col min="3" max="3" width="15.1640625" customWidth="1"/>
    <col min="4" max="4" width="14.6640625" customWidth="1"/>
    <col min="5" max="5" width="12.1640625" customWidth="1"/>
    <col min="6" max="6" width="9.6640625" customWidth="1"/>
    <col min="7" max="7" width="15.83203125" customWidth="1"/>
    <col min="8" max="8" width="18.1640625" customWidth="1"/>
    <col min="9" max="9" width="21.33203125" customWidth="1"/>
    <col min="10" max="10" width="18" customWidth="1"/>
    <col min="11" max="11" width="19.33203125" customWidth="1"/>
    <col min="12" max="12" width="26.33203125" bestFit="1" customWidth="1"/>
    <col min="13" max="13" width="19.6640625" bestFit="1" customWidth="1"/>
  </cols>
  <sheetData>
    <row r="1" spans="1:13" x14ac:dyDescent="0.2">
      <c r="A1" s="140" t="s">
        <v>79</v>
      </c>
      <c r="B1" s="137" t="s">
        <v>284</v>
      </c>
      <c r="C1" t="s">
        <v>285</v>
      </c>
      <c r="D1" t="s">
        <v>80</v>
      </c>
      <c r="E1" t="s">
        <v>81</v>
      </c>
      <c r="F1" s="141" t="s">
        <v>280</v>
      </c>
      <c r="G1" t="s">
        <v>82</v>
      </c>
      <c r="H1" t="s">
        <v>83</v>
      </c>
      <c r="I1" t="s">
        <v>286</v>
      </c>
      <c r="J1" t="s">
        <v>287</v>
      </c>
      <c r="K1" t="s">
        <v>288</v>
      </c>
      <c r="L1" s="372" t="s">
        <v>876</v>
      </c>
      <c r="M1" s="372" t="s">
        <v>878</v>
      </c>
    </row>
    <row r="2" spans="1:13" ht="16" x14ac:dyDescent="0.2">
      <c r="A2" s="142" t="s">
        <v>84</v>
      </c>
      <c r="B2" s="143">
        <v>46280</v>
      </c>
      <c r="C2" s="142" t="s">
        <v>289</v>
      </c>
      <c r="D2" s="142">
        <v>2023</v>
      </c>
      <c r="E2" s="142">
        <v>35</v>
      </c>
      <c r="F2" s="144" t="s">
        <v>281</v>
      </c>
      <c r="G2" s="142" t="s">
        <v>85</v>
      </c>
      <c r="H2" s="145">
        <v>1320</v>
      </c>
      <c r="I2" s="142" t="s">
        <v>290</v>
      </c>
      <c r="J2" s="142" t="s">
        <v>291</v>
      </c>
      <c r="K2" s="142" t="s">
        <v>290</v>
      </c>
      <c r="L2" s="371">
        <f>IF(PolicyData[[#This Row],[ClaimFiled_Last5Yrs]]="Y",1,0)</f>
        <v>0</v>
      </c>
      <c r="M2" s="371">
        <f>IF(PolicyData[[#This Row],[Region]]="EAST",1,0)</f>
        <v>0</v>
      </c>
    </row>
    <row r="3" spans="1:13" ht="16" x14ac:dyDescent="0.2">
      <c r="A3" s="142" t="s">
        <v>86</v>
      </c>
      <c r="B3" s="143">
        <v>46164</v>
      </c>
      <c r="C3" s="142" t="s">
        <v>292</v>
      </c>
      <c r="D3" s="142">
        <v>2018</v>
      </c>
      <c r="E3" s="142">
        <v>48</v>
      </c>
      <c r="F3" s="144" t="s">
        <v>283</v>
      </c>
      <c r="G3" s="142" t="s">
        <v>87</v>
      </c>
      <c r="H3" s="146">
        <v>790</v>
      </c>
      <c r="I3" s="142" t="s">
        <v>290</v>
      </c>
      <c r="J3" s="142" t="s">
        <v>291</v>
      </c>
      <c r="K3" s="142" t="s">
        <v>290</v>
      </c>
      <c r="L3" s="371">
        <f>IF(PolicyData[[#This Row],[ClaimFiled_Last5Yrs]]="Y",1,0)</f>
        <v>0</v>
      </c>
      <c r="M3" s="371">
        <f>IF(PolicyData[[#This Row],[Region]]="EAST",1,0)</f>
        <v>1</v>
      </c>
    </row>
    <row r="4" spans="1:13" ht="16" x14ac:dyDescent="0.2">
      <c r="A4" s="142" t="s">
        <v>88</v>
      </c>
      <c r="B4" s="143">
        <v>46315</v>
      </c>
      <c r="C4" s="142" t="s">
        <v>293</v>
      </c>
      <c r="D4" s="142">
        <v>2025</v>
      </c>
      <c r="E4" s="142">
        <v>22</v>
      </c>
      <c r="F4" s="144" t="s">
        <v>294</v>
      </c>
      <c r="G4" s="142" t="s">
        <v>85</v>
      </c>
      <c r="H4" s="145">
        <v>2450</v>
      </c>
      <c r="I4" s="142" t="s">
        <v>291</v>
      </c>
      <c r="J4" s="142" t="s">
        <v>290</v>
      </c>
      <c r="K4" s="142" t="s">
        <v>291</v>
      </c>
      <c r="L4" s="371">
        <f>IF(PolicyData[[#This Row],[ClaimFiled_Last5Yrs]]="Y",1,0)</f>
        <v>1</v>
      </c>
      <c r="M4" s="371">
        <f>IF(PolicyData[[#This Row],[Region]]="EAST",1,0)</f>
        <v>0</v>
      </c>
    </row>
    <row r="5" spans="1:13" ht="16" x14ac:dyDescent="0.2">
      <c r="A5" s="142" t="s">
        <v>89</v>
      </c>
      <c r="B5" s="143">
        <v>46204</v>
      </c>
      <c r="C5" s="142" t="s">
        <v>295</v>
      </c>
      <c r="D5" s="142">
        <v>2021</v>
      </c>
      <c r="E5" s="142">
        <v>55</v>
      </c>
      <c r="F5" s="144" t="s">
        <v>282</v>
      </c>
      <c r="G5" s="142" t="s">
        <v>90</v>
      </c>
      <c r="H5" s="146">
        <v>980</v>
      </c>
      <c r="I5" s="142" t="s">
        <v>290</v>
      </c>
      <c r="J5" s="142" t="s">
        <v>291</v>
      </c>
      <c r="K5" s="142" t="s">
        <v>290</v>
      </c>
      <c r="L5" s="371">
        <f>IF(PolicyData[[#This Row],[ClaimFiled_Last5Yrs]]="Y",1,0)</f>
        <v>0</v>
      </c>
      <c r="M5" s="371">
        <f>IF(PolicyData[[#This Row],[Region]]="EAST",1,0)</f>
        <v>0</v>
      </c>
    </row>
    <row r="6" spans="1:13" ht="16" x14ac:dyDescent="0.2">
      <c r="A6" s="142" t="s">
        <v>91</v>
      </c>
      <c r="B6" s="143">
        <v>46124</v>
      </c>
      <c r="C6" s="142" t="s">
        <v>296</v>
      </c>
      <c r="D6" s="142">
        <v>2024</v>
      </c>
      <c r="E6" s="142">
        <v>41</v>
      </c>
      <c r="F6" s="144" t="s">
        <v>281</v>
      </c>
      <c r="G6" s="142" t="s">
        <v>85</v>
      </c>
      <c r="H6" s="145">
        <v>1950</v>
      </c>
      <c r="I6" s="142" t="s">
        <v>290</v>
      </c>
      <c r="J6" s="142" t="s">
        <v>291</v>
      </c>
      <c r="K6" s="142" t="s">
        <v>290</v>
      </c>
      <c r="L6" s="371">
        <f>IF(PolicyData[[#This Row],[ClaimFiled_Last5Yrs]]="Y",1,0)</f>
        <v>0</v>
      </c>
      <c r="M6" s="371">
        <f>IF(PolicyData[[#This Row],[Region]]="EAST",1,0)</f>
        <v>0</v>
      </c>
    </row>
    <row r="7" spans="1:13" ht="16" x14ac:dyDescent="0.2">
      <c r="A7" s="142" t="s">
        <v>92</v>
      </c>
      <c r="B7" s="143">
        <v>46052</v>
      </c>
      <c r="C7" s="142" t="s">
        <v>297</v>
      </c>
      <c r="D7" s="142">
        <v>2017</v>
      </c>
      <c r="E7" s="142">
        <v>62</v>
      </c>
      <c r="F7" s="144" t="s">
        <v>283</v>
      </c>
      <c r="G7" s="142" t="s">
        <v>87</v>
      </c>
      <c r="H7" s="145">
        <v>670</v>
      </c>
      <c r="I7" s="142" t="s">
        <v>290</v>
      </c>
      <c r="J7" s="142" t="s">
        <v>291</v>
      </c>
      <c r="K7" s="142" t="s">
        <v>290</v>
      </c>
      <c r="L7" s="371">
        <f>IF(PolicyData[[#This Row],[ClaimFiled_Last5Yrs]]="Y",1,0)</f>
        <v>0</v>
      </c>
      <c r="M7" s="371">
        <f>IF(PolicyData[[#This Row],[Region]]="EAST",1,0)</f>
        <v>1</v>
      </c>
    </row>
    <row r="8" spans="1:13" ht="16" x14ac:dyDescent="0.2">
      <c r="A8" s="142" t="s">
        <v>93</v>
      </c>
      <c r="B8" s="143">
        <v>46109</v>
      </c>
      <c r="C8" s="142" t="s">
        <v>298</v>
      </c>
      <c r="D8" s="142">
        <v>2026</v>
      </c>
      <c r="E8" s="142">
        <v>28</v>
      </c>
      <c r="F8" s="144" t="s">
        <v>282</v>
      </c>
      <c r="G8" s="142" t="s">
        <v>85</v>
      </c>
      <c r="H8" s="146">
        <v>1900</v>
      </c>
      <c r="I8" s="142" t="s">
        <v>291</v>
      </c>
      <c r="J8" s="142" t="s">
        <v>290</v>
      </c>
      <c r="K8" s="142" t="s">
        <v>290</v>
      </c>
      <c r="L8" s="371">
        <f>IF(PolicyData[[#This Row],[ClaimFiled_Last5Yrs]]="Y",1,0)</f>
        <v>1</v>
      </c>
      <c r="M8" s="371">
        <f>IF(PolicyData[[#This Row],[Region]]="EAST",1,0)</f>
        <v>0</v>
      </c>
    </row>
    <row r="9" spans="1:13" ht="16" x14ac:dyDescent="0.2">
      <c r="A9" s="142" t="s">
        <v>94</v>
      </c>
      <c r="B9" s="143">
        <v>46239</v>
      </c>
      <c r="C9" s="142" t="s">
        <v>299</v>
      </c>
      <c r="D9" s="142">
        <v>2024</v>
      </c>
      <c r="E9" s="142">
        <v>51</v>
      </c>
      <c r="F9" s="144" t="s">
        <v>294</v>
      </c>
      <c r="G9" s="142" t="s">
        <v>85</v>
      </c>
      <c r="H9" s="145">
        <v>1550</v>
      </c>
      <c r="I9" s="142" t="s">
        <v>290</v>
      </c>
      <c r="J9" s="142" t="s">
        <v>291</v>
      </c>
      <c r="K9" s="142" t="s">
        <v>290</v>
      </c>
      <c r="L9" s="371">
        <f>IF(PolicyData[[#This Row],[ClaimFiled_Last5Yrs]]="Y",1,0)</f>
        <v>0</v>
      </c>
      <c r="M9" s="371">
        <f>IF(PolicyData[[#This Row],[Region]]="EAST",1,0)</f>
        <v>0</v>
      </c>
    </row>
    <row r="10" spans="1:13" ht="16" x14ac:dyDescent="0.2">
      <c r="A10" s="142" t="s">
        <v>95</v>
      </c>
      <c r="B10" s="143">
        <v>46191</v>
      </c>
      <c r="C10" s="142" t="s">
        <v>300</v>
      </c>
      <c r="D10" s="142">
        <v>2016</v>
      </c>
      <c r="E10" s="142">
        <v>39</v>
      </c>
      <c r="F10" s="144" t="s">
        <v>281</v>
      </c>
      <c r="G10" s="142" t="s">
        <v>87</v>
      </c>
      <c r="H10" s="146">
        <v>840</v>
      </c>
      <c r="I10" s="142" t="s">
        <v>290</v>
      </c>
      <c r="J10" s="142" t="s">
        <v>291</v>
      </c>
      <c r="K10" s="142" t="s">
        <v>291</v>
      </c>
      <c r="L10" s="371">
        <f>IF(PolicyData[[#This Row],[ClaimFiled_Last5Yrs]]="Y",1,0)</f>
        <v>0</v>
      </c>
      <c r="M10" s="371">
        <f>IF(PolicyData[[#This Row],[Region]]="EAST",1,0)</f>
        <v>0</v>
      </c>
    </row>
    <row r="11" spans="1:13" ht="16" x14ac:dyDescent="0.2">
      <c r="A11" s="142" t="s">
        <v>96</v>
      </c>
      <c r="B11" s="143">
        <v>46078</v>
      </c>
      <c r="C11" s="142" t="s">
        <v>301</v>
      </c>
      <c r="D11" s="142">
        <v>2026</v>
      </c>
      <c r="E11" s="142">
        <v>25</v>
      </c>
      <c r="F11" s="144" t="s">
        <v>283</v>
      </c>
      <c r="G11" s="142" t="s">
        <v>85</v>
      </c>
      <c r="H11" s="145">
        <v>2200</v>
      </c>
      <c r="I11" s="142" t="s">
        <v>291</v>
      </c>
      <c r="J11" s="142" t="s">
        <v>291</v>
      </c>
      <c r="K11" s="142" t="s">
        <v>290</v>
      </c>
      <c r="L11" s="371">
        <f>IF(PolicyData[[#This Row],[ClaimFiled_Last5Yrs]]="Y",1,0)</f>
        <v>1</v>
      </c>
      <c r="M11" s="371">
        <f>IF(PolicyData[[#This Row],[Region]]="EAST",1,0)</f>
        <v>1</v>
      </c>
    </row>
    <row r="12" spans="1:13" ht="16" x14ac:dyDescent="0.2">
      <c r="A12" s="142" t="s">
        <v>302</v>
      </c>
      <c r="B12" s="143">
        <v>45966</v>
      </c>
      <c r="C12" s="142" t="s">
        <v>289</v>
      </c>
      <c r="D12" s="142">
        <v>2015</v>
      </c>
      <c r="E12" s="142">
        <v>68</v>
      </c>
      <c r="F12" s="144" t="s">
        <v>294</v>
      </c>
      <c r="G12" s="142" t="s">
        <v>87</v>
      </c>
      <c r="H12" s="145">
        <v>580</v>
      </c>
      <c r="I12" s="142" t="s">
        <v>290</v>
      </c>
      <c r="J12" s="142" t="s">
        <v>291</v>
      </c>
      <c r="K12" s="142" t="s">
        <v>290</v>
      </c>
      <c r="L12" s="371">
        <f>IF(PolicyData[[#This Row],[ClaimFiled_Last5Yrs]]="Y",1,0)</f>
        <v>0</v>
      </c>
      <c r="M12" s="371">
        <f>IF(PolicyData[[#This Row],[Region]]="EAST",1,0)</f>
        <v>0</v>
      </c>
    </row>
    <row r="13" spans="1:13" ht="16" x14ac:dyDescent="0.2">
      <c r="A13" s="142" t="s">
        <v>303</v>
      </c>
      <c r="B13" s="143">
        <v>46098</v>
      </c>
      <c r="C13" s="142" t="s">
        <v>292</v>
      </c>
      <c r="D13" s="142">
        <v>2025</v>
      </c>
      <c r="E13" s="142">
        <v>33</v>
      </c>
      <c r="F13" s="144" t="s">
        <v>282</v>
      </c>
      <c r="G13" s="142" t="s">
        <v>85</v>
      </c>
      <c r="H13" s="146">
        <v>1450</v>
      </c>
      <c r="I13" s="142" t="s">
        <v>290</v>
      </c>
      <c r="J13" s="142" t="s">
        <v>291</v>
      </c>
      <c r="K13" s="142" t="s">
        <v>290</v>
      </c>
      <c r="L13" s="371">
        <f>IF(PolicyData[[#This Row],[ClaimFiled_Last5Yrs]]="Y",1,0)</f>
        <v>0</v>
      </c>
      <c r="M13" s="371">
        <f>IF(PolicyData[[#This Row],[Region]]="EAST",1,0)</f>
        <v>0</v>
      </c>
    </row>
    <row r="14" spans="1:13" ht="16" x14ac:dyDescent="0.2">
      <c r="A14" s="142" t="s">
        <v>304</v>
      </c>
      <c r="B14" s="143">
        <v>46143</v>
      </c>
      <c r="C14" s="142" t="s">
        <v>293</v>
      </c>
      <c r="D14" s="142">
        <v>2019</v>
      </c>
      <c r="E14" s="142">
        <v>45</v>
      </c>
      <c r="F14" s="144" t="s">
        <v>281</v>
      </c>
      <c r="G14" s="142" t="s">
        <v>90</v>
      </c>
      <c r="H14" s="146">
        <v>1080</v>
      </c>
      <c r="I14" s="142" t="s">
        <v>290</v>
      </c>
      <c r="J14" s="142" t="s">
        <v>291</v>
      </c>
      <c r="K14" s="142" t="s">
        <v>290</v>
      </c>
      <c r="L14" s="371">
        <f>IF(PolicyData[[#This Row],[ClaimFiled_Last5Yrs]]="Y",1,0)</f>
        <v>0</v>
      </c>
      <c r="M14" s="371">
        <f>IF(PolicyData[[#This Row],[Region]]="EAST",1,0)</f>
        <v>0</v>
      </c>
    </row>
    <row r="15" spans="1:13" ht="16" x14ac:dyDescent="0.2">
      <c r="A15" s="142" t="s">
        <v>305</v>
      </c>
      <c r="B15" s="143">
        <v>46231</v>
      </c>
      <c r="C15" s="142" t="s">
        <v>295</v>
      </c>
      <c r="D15" s="142">
        <v>2026</v>
      </c>
      <c r="E15" s="142">
        <v>21</v>
      </c>
      <c r="F15" s="144" t="s">
        <v>283</v>
      </c>
      <c r="G15" s="142" t="s">
        <v>85</v>
      </c>
      <c r="H15" s="145">
        <v>2550</v>
      </c>
      <c r="I15" s="142" t="s">
        <v>291</v>
      </c>
      <c r="J15" s="142" t="s">
        <v>290</v>
      </c>
      <c r="K15" s="142" t="s">
        <v>291</v>
      </c>
      <c r="L15" s="371">
        <f>IF(PolicyData[[#This Row],[ClaimFiled_Last5Yrs]]="Y",1,0)</f>
        <v>1</v>
      </c>
      <c r="M15" s="371">
        <f>IF(PolicyData[[#This Row],[Region]]="EAST",1,0)</f>
        <v>1</v>
      </c>
    </row>
    <row r="16" spans="1:13" ht="16" x14ac:dyDescent="0.2">
      <c r="A16" s="142" t="s">
        <v>306</v>
      </c>
      <c r="B16" s="143">
        <v>46267</v>
      </c>
      <c r="C16" s="142" t="s">
        <v>296</v>
      </c>
      <c r="D16" s="142">
        <v>2018</v>
      </c>
      <c r="E16" s="142">
        <v>58</v>
      </c>
      <c r="F16" s="144" t="s">
        <v>294</v>
      </c>
      <c r="G16" s="142" t="s">
        <v>87</v>
      </c>
      <c r="H16" s="145">
        <v>930</v>
      </c>
      <c r="I16" s="142" t="s">
        <v>290</v>
      </c>
      <c r="J16" s="142" t="s">
        <v>291</v>
      </c>
      <c r="K16" s="142" t="s">
        <v>290</v>
      </c>
      <c r="L16" s="371">
        <f>IF(PolicyData[[#This Row],[ClaimFiled_Last5Yrs]]="Y",1,0)</f>
        <v>0</v>
      </c>
      <c r="M16" s="371">
        <f>IF(PolicyData[[#This Row],[Region]]="EAST",1,0)</f>
        <v>0</v>
      </c>
    </row>
    <row r="17" spans="1:13" ht="16" x14ac:dyDescent="0.2">
      <c r="A17" s="142" t="s">
        <v>307</v>
      </c>
      <c r="B17" s="143">
        <v>46037</v>
      </c>
      <c r="C17" s="142" t="s">
        <v>297</v>
      </c>
      <c r="D17" s="142">
        <v>2024</v>
      </c>
      <c r="E17" s="142">
        <v>29</v>
      </c>
      <c r="F17" s="144" t="s">
        <v>282</v>
      </c>
      <c r="G17" s="142" t="s">
        <v>85</v>
      </c>
      <c r="H17" s="146">
        <v>1850</v>
      </c>
      <c r="I17" s="142" t="s">
        <v>290</v>
      </c>
      <c r="J17" s="142" t="s">
        <v>291</v>
      </c>
      <c r="K17" s="142" t="s">
        <v>290</v>
      </c>
      <c r="L17" s="371">
        <f>IF(PolicyData[[#This Row],[ClaimFiled_Last5Yrs]]="Y",1,0)</f>
        <v>0</v>
      </c>
      <c r="M17" s="371">
        <f>IF(PolicyData[[#This Row],[Region]]="EAST",1,0)</f>
        <v>0</v>
      </c>
    </row>
    <row r="18" spans="1:13" ht="16" x14ac:dyDescent="0.2">
      <c r="A18" s="142" t="s">
        <v>308</v>
      </c>
      <c r="B18" s="143">
        <v>46054</v>
      </c>
      <c r="C18" s="142" t="s">
        <v>298</v>
      </c>
      <c r="D18" s="142">
        <v>2016</v>
      </c>
      <c r="E18" s="142">
        <v>72</v>
      </c>
      <c r="F18" s="144" t="s">
        <v>281</v>
      </c>
      <c r="G18" s="142" t="s">
        <v>87</v>
      </c>
      <c r="H18" s="146">
        <v>630</v>
      </c>
      <c r="I18" s="142" t="s">
        <v>290</v>
      </c>
      <c r="J18" s="142" t="s">
        <v>291</v>
      </c>
      <c r="K18" s="142" t="s">
        <v>290</v>
      </c>
      <c r="L18" s="371">
        <f>IF(PolicyData[[#This Row],[ClaimFiled_Last5Yrs]]="Y",1,0)</f>
        <v>0</v>
      </c>
      <c r="M18" s="371">
        <f>IF(PolicyData[[#This Row],[Region]]="EAST",1,0)</f>
        <v>0</v>
      </c>
    </row>
    <row r="19" spans="1:13" ht="16" x14ac:dyDescent="0.2">
      <c r="A19" s="142" t="s">
        <v>309</v>
      </c>
      <c r="B19" s="143">
        <v>46132</v>
      </c>
      <c r="C19" s="142" t="s">
        <v>299</v>
      </c>
      <c r="D19" s="142">
        <v>2025</v>
      </c>
      <c r="E19" s="142">
        <v>37</v>
      </c>
      <c r="F19" s="144" t="s">
        <v>283</v>
      </c>
      <c r="G19" s="142" t="s">
        <v>85</v>
      </c>
      <c r="H19" s="146">
        <v>1650</v>
      </c>
      <c r="I19" s="142" t="s">
        <v>291</v>
      </c>
      <c r="J19" s="142" t="s">
        <v>291</v>
      </c>
      <c r="K19" s="142" t="s">
        <v>290</v>
      </c>
      <c r="L19" s="371">
        <f>IF(PolicyData[[#This Row],[ClaimFiled_Last5Yrs]]="Y",1,0)</f>
        <v>1</v>
      </c>
      <c r="M19" s="371">
        <f>IF(PolicyData[[#This Row],[Region]]="EAST",1,0)</f>
        <v>1</v>
      </c>
    </row>
    <row r="20" spans="1:13" ht="16" x14ac:dyDescent="0.2">
      <c r="A20" s="142" t="s">
        <v>310</v>
      </c>
      <c r="B20" s="143">
        <v>46183</v>
      </c>
      <c r="C20" s="142" t="s">
        <v>300</v>
      </c>
      <c r="D20" s="142">
        <v>2017</v>
      </c>
      <c r="E20" s="142">
        <v>53</v>
      </c>
      <c r="F20" s="144" t="s">
        <v>294</v>
      </c>
      <c r="G20" s="142" t="s">
        <v>90</v>
      </c>
      <c r="H20" s="145">
        <v>1150</v>
      </c>
      <c r="I20" s="142" t="s">
        <v>290</v>
      </c>
      <c r="J20" s="142" t="s">
        <v>291</v>
      </c>
      <c r="K20" s="142" t="s">
        <v>290</v>
      </c>
      <c r="L20" s="371">
        <f>IF(PolicyData[[#This Row],[ClaimFiled_Last5Yrs]]="Y",1,0)</f>
        <v>0</v>
      </c>
      <c r="M20" s="371">
        <f>IF(PolicyData[[#This Row],[Region]]="EAST",1,0)</f>
        <v>0</v>
      </c>
    </row>
    <row r="21" spans="1:13" ht="16" x14ac:dyDescent="0.2">
      <c r="A21" s="142" t="s">
        <v>311</v>
      </c>
      <c r="B21" s="143">
        <v>46259</v>
      </c>
      <c r="C21" s="142" t="s">
        <v>301</v>
      </c>
      <c r="D21" s="142">
        <v>2024</v>
      </c>
      <c r="E21" s="142">
        <v>24</v>
      </c>
      <c r="F21" s="144" t="s">
        <v>282</v>
      </c>
      <c r="G21" s="142" t="s">
        <v>85</v>
      </c>
      <c r="H21" s="145">
        <v>2300</v>
      </c>
      <c r="I21" s="142" t="s">
        <v>291</v>
      </c>
      <c r="J21" s="142" t="s">
        <v>290</v>
      </c>
      <c r="K21" s="142" t="s">
        <v>291</v>
      </c>
      <c r="L21" s="371">
        <f>IF(PolicyData[[#This Row],[ClaimFiled_Last5Yrs]]="Y",1,0)</f>
        <v>1</v>
      </c>
      <c r="M21" s="371">
        <f>IF(PolicyData[[#This Row],[Region]]="EAST",1,0)</f>
        <v>0</v>
      </c>
    </row>
    <row r="22" spans="1:13" ht="16" x14ac:dyDescent="0.2">
      <c r="A22" s="142" t="s">
        <v>312</v>
      </c>
      <c r="B22" s="143">
        <v>46305</v>
      </c>
      <c r="C22" s="142" t="s">
        <v>289</v>
      </c>
      <c r="D22" s="142">
        <v>2024</v>
      </c>
      <c r="E22" s="142">
        <v>40</v>
      </c>
      <c r="F22" s="144" t="s">
        <v>281</v>
      </c>
      <c r="G22" s="142" t="s">
        <v>85</v>
      </c>
      <c r="H22" s="145">
        <v>1400</v>
      </c>
      <c r="I22" s="142" t="s">
        <v>290</v>
      </c>
      <c r="J22" s="142" t="s">
        <v>291</v>
      </c>
      <c r="K22" s="142" t="s">
        <v>290</v>
      </c>
      <c r="L22" s="371">
        <f>IF(PolicyData[[#This Row],[ClaimFiled_Last5Yrs]]="Y",1,0)</f>
        <v>0</v>
      </c>
      <c r="M22" s="371">
        <f>IF(PolicyData[[#This Row],[Region]]="EAST",1,0)</f>
        <v>0</v>
      </c>
    </row>
    <row r="23" spans="1:13" ht="16" x14ac:dyDescent="0.2">
      <c r="A23" s="142" t="s">
        <v>313</v>
      </c>
      <c r="B23" s="143">
        <v>46027</v>
      </c>
      <c r="C23" s="142" t="s">
        <v>292</v>
      </c>
      <c r="D23" s="142">
        <v>2016</v>
      </c>
      <c r="E23" s="142">
        <v>50</v>
      </c>
      <c r="F23" s="144" t="s">
        <v>283</v>
      </c>
      <c r="G23" s="142" t="s">
        <v>87</v>
      </c>
      <c r="H23" s="145">
        <v>820</v>
      </c>
      <c r="I23" s="142" t="s">
        <v>291</v>
      </c>
      <c r="J23" s="142" t="s">
        <v>291</v>
      </c>
      <c r="K23" s="142" t="s">
        <v>290</v>
      </c>
      <c r="L23" s="371">
        <f>IF(PolicyData[[#This Row],[ClaimFiled_Last5Yrs]]="Y",1,0)</f>
        <v>1</v>
      </c>
      <c r="M23" s="371">
        <f>IF(PolicyData[[#This Row],[Region]]="EAST",1,0)</f>
        <v>1</v>
      </c>
    </row>
    <row r="24" spans="1:13" ht="16" x14ac:dyDescent="0.2">
      <c r="A24" s="142" t="s">
        <v>314</v>
      </c>
      <c r="B24" s="143">
        <v>45979</v>
      </c>
      <c r="C24" s="142" t="s">
        <v>293</v>
      </c>
      <c r="D24" s="142">
        <v>2025</v>
      </c>
      <c r="E24" s="142">
        <v>23</v>
      </c>
      <c r="F24" s="144" t="s">
        <v>294</v>
      </c>
      <c r="G24" s="142" t="s">
        <v>85</v>
      </c>
      <c r="H24" s="145">
        <v>2500</v>
      </c>
      <c r="I24" s="142" t="s">
        <v>290</v>
      </c>
      <c r="J24" s="142" t="s">
        <v>290</v>
      </c>
      <c r="K24" s="142" t="s">
        <v>290</v>
      </c>
      <c r="L24" s="371">
        <f>IF(PolicyData[[#This Row],[ClaimFiled_Last5Yrs]]="Y",1,0)</f>
        <v>0</v>
      </c>
      <c r="M24" s="371">
        <f>IF(PolicyData[[#This Row],[Region]]="EAST",1,0)</f>
        <v>0</v>
      </c>
    </row>
    <row r="25" spans="1:13" ht="16" x14ac:dyDescent="0.2">
      <c r="A25" s="142" t="s">
        <v>315</v>
      </c>
      <c r="B25" s="143">
        <v>46084</v>
      </c>
      <c r="C25" s="142" t="s">
        <v>295</v>
      </c>
      <c r="D25" s="142">
        <v>2020</v>
      </c>
      <c r="E25" s="142">
        <v>60</v>
      </c>
      <c r="F25" s="144" t="s">
        <v>282</v>
      </c>
      <c r="G25" s="142" t="s">
        <v>90</v>
      </c>
      <c r="H25" s="146">
        <v>950</v>
      </c>
      <c r="I25" s="142" t="s">
        <v>290</v>
      </c>
      <c r="J25" s="142" t="s">
        <v>291</v>
      </c>
      <c r="K25" s="142" t="s">
        <v>290</v>
      </c>
      <c r="L25" s="371">
        <f>IF(PolicyData[[#This Row],[ClaimFiled_Last5Yrs]]="Y",1,0)</f>
        <v>0</v>
      </c>
      <c r="M25" s="371">
        <f>IF(PolicyData[[#This Row],[Region]]="EAST",1,0)</f>
        <v>0</v>
      </c>
    </row>
    <row r="26" spans="1:13" ht="16" x14ac:dyDescent="0.2">
      <c r="A26" s="142" t="s">
        <v>316</v>
      </c>
      <c r="B26" s="143">
        <v>46156</v>
      </c>
      <c r="C26" s="142" t="s">
        <v>296</v>
      </c>
      <c r="D26" s="142">
        <v>2019</v>
      </c>
      <c r="E26" s="142">
        <v>42</v>
      </c>
      <c r="F26" s="144" t="s">
        <v>281</v>
      </c>
      <c r="G26" s="142" t="s">
        <v>85</v>
      </c>
      <c r="H26" s="146">
        <v>1850</v>
      </c>
      <c r="I26" s="142" t="s">
        <v>291</v>
      </c>
      <c r="J26" s="142" t="s">
        <v>291</v>
      </c>
      <c r="K26" s="142" t="s">
        <v>291</v>
      </c>
      <c r="L26" s="371">
        <f>IF(PolicyData[[#This Row],[ClaimFiled_Last5Yrs]]="Y",1,0)</f>
        <v>1</v>
      </c>
      <c r="M26" s="371">
        <f>IF(PolicyData[[#This Row],[Region]]="EAST",1,0)</f>
        <v>0</v>
      </c>
    </row>
    <row r="27" spans="1:13" ht="16" x14ac:dyDescent="0.2">
      <c r="A27" s="142" t="s">
        <v>317</v>
      </c>
      <c r="B27" s="143">
        <v>46212</v>
      </c>
      <c r="C27" s="142" t="s">
        <v>297</v>
      </c>
      <c r="D27" s="142">
        <v>2015</v>
      </c>
      <c r="E27" s="142">
        <v>65</v>
      </c>
      <c r="F27" s="144" t="s">
        <v>283</v>
      </c>
      <c r="G27" s="142" t="s">
        <v>87</v>
      </c>
      <c r="H27" s="145">
        <v>700</v>
      </c>
      <c r="I27" s="142" t="s">
        <v>290</v>
      </c>
      <c r="J27" s="142" t="s">
        <v>291</v>
      </c>
      <c r="K27" s="142" t="s">
        <v>290</v>
      </c>
      <c r="L27" s="371">
        <f>IF(PolicyData[[#This Row],[ClaimFiled_Last5Yrs]]="Y",1,0)</f>
        <v>0</v>
      </c>
      <c r="M27" s="371">
        <f>IF(PolicyData[[#This Row],[Region]]="EAST",1,0)</f>
        <v>1</v>
      </c>
    </row>
    <row r="28" spans="1:13" ht="16" x14ac:dyDescent="0.2">
      <c r="A28" s="142" t="s">
        <v>318</v>
      </c>
      <c r="B28" s="143">
        <v>46286</v>
      </c>
      <c r="C28" s="142" t="s">
        <v>298</v>
      </c>
      <c r="D28" s="142">
        <v>2026</v>
      </c>
      <c r="E28" s="142">
        <v>30</v>
      </c>
      <c r="F28" s="144" t="s">
        <v>282</v>
      </c>
      <c r="G28" s="142" t="s">
        <v>85</v>
      </c>
      <c r="H28" s="145">
        <v>1950</v>
      </c>
      <c r="I28" s="142" t="s">
        <v>290</v>
      </c>
      <c r="J28" s="142" t="s">
        <v>290</v>
      </c>
      <c r="K28" s="142" t="s">
        <v>290</v>
      </c>
      <c r="L28" s="371">
        <f>IF(PolicyData[[#This Row],[ClaimFiled_Last5Yrs]]="Y",1,0)</f>
        <v>0</v>
      </c>
      <c r="M28" s="371">
        <f>IF(PolicyData[[#This Row],[Region]]="EAST",1,0)</f>
        <v>0</v>
      </c>
    </row>
    <row r="29" spans="1:13" ht="16" x14ac:dyDescent="0.2">
      <c r="A29" s="142" t="s">
        <v>319</v>
      </c>
      <c r="B29" s="143">
        <v>46061</v>
      </c>
      <c r="C29" s="142" t="s">
        <v>299</v>
      </c>
      <c r="D29" s="142">
        <v>2025</v>
      </c>
      <c r="E29" s="142">
        <v>52</v>
      </c>
      <c r="F29" s="144" t="s">
        <v>294</v>
      </c>
      <c r="G29" s="142" t="s">
        <v>85</v>
      </c>
      <c r="H29" s="146">
        <v>1600</v>
      </c>
      <c r="I29" s="142" t="s">
        <v>290</v>
      </c>
      <c r="J29" s="142" t="s">
        <v>291</v>
      </c>
      <c r="K29" s="142" t="s">
        <v>290</v>
      </c>
      <c r="L29" s="371">
        <f>IF(PolicyData[[#This Row],[ClaimFiled_Last5Yrs]]="Y",1,0)</f>
        <v>0</v>
      </c>
      <c r="M29" s="371">
        <f>IF(PolicyData[[#This Row],[Region]]="EAST",1,0)</f>
        <v>0</v>
      </c>
    </row>
    <row r="30" spans="1:13" ht="16" x14ac:dyDescent="0.2">
      <c r="A30" s="142" t="s">
        <v>320</v>
      </c>
      <c r="B30" s="143">
        <v>46111</v>
      </c>
      <c r="C30" s="142" t="s">
        <v>300</v>
      </c>
      <c r="D30" s="142">
        <v>2018</v>
      </c>
      <c r="E30" s="142">
        <v>38</v>
      </c>
      <c r="F30" s="144" t="s">
        <v>281</v>
      </c>
      <c r="G30" s="142" t="s">
        <v>87</v>
      </c>
      <c r="H30" s="145">
        <v>870</v>
      </c>
      <c r="I30" s="142" t="s">
        <v>291</v>
      </c>
      <c r="J30" s="142" t="s">
        <v>291</v>
      </c>
      <c r="K30" s="142" t="s">
        <v>290</v>
      </c>
      <c r="L30" s="371">
        <f>IF(PolicyData[[#This Row],[ClaimFiled_Last5Yrs]]="Y",1,0)</f>
        <v>1</v>
      </c>
      <c r="M30" s="371">
        <f>IF(PolicyData[[#This Row],[Region]]="EAST",1,0)</f>
        <v>0</v>
      </c>
    </row>
    <row r="31" spans="1:13" ht="16" x14ac:dyDescent="0.2">
      <c r="A31" s="142" t="s">
        <v>321</v>
      </c>
      <c r="B31" s="143">
        <v>46127</v>
      </c>
      <c r="C31" s="142" t="s">
        <v>301</v>
      </c>
      <c r="D31" s="142">
        <v>2024</v>
      </c>
      <c r="E31" s="142">
        <v>26</v>
      </c>
      <c r="F31" s="144" t="s">
        <v>283</v>
      </c>
      <c r="G31" s="142" t="s">
        <v>85</v>
      </c>
      <c r="H31" s="146">
        <v>2150</v>
      </c>
      <c r="I31" s="142" t="s">
        <v>290</v>
      </c>
      <c r="J31" s="142" t="s">
        <v>290</v>
      </c>
      <c r="K31" s="142" t="s">
        <v>291</v>
      </c>
      <c r="L31" s="371">
        <f>IF(PolicyData[[#This Row],[ClaimFiled_Last5Yrs]]="Y",1,0)</f>
        <v>0</v>
      </c>
      <c r="M31" s="371">
        <f>IF(PolicyData[[#This Row],[Region]]="EAST",1,0)</f>
        <v>1</v>
      </c>
    </row>
    <row r="32" spans="1:13" ht="16" x14ac:dyDescent="0.2">
      <c r="A32" s="142" t="s">
        <v>322</v>
      </c>
      <c r="B32" s="143">
        <v>46023</v>
      </c>
      <c r="C32" s="142" t="s">
        <v>289</v>
      </c>
      <c r="D32" s="142">
        <v>2017</v>
      </c>
      <c r="E32" s="142">
        <v>70</v>
      </c>
      <c r="F32" s="144" t="s">
        <v>294</v>
      </c>
      <c r="G32" s="142" t="s">
        <v>87</v>
      </c>
      <c r="H32" s="146">
        <v>550</v>
      </c>
      <c r="I32" s="142" t="s">
        <v>290</v>
      </c>
      <c r="J32" s="142" t="s">
        <v>291</v>
      </c>
      <c r="K32" s="142" t="s">
        <v>290</v>
      </c>
      <c r="L32" s="371">
        <f>IF(PolicyData[[#This Row],[ClaimFiled_Last5Yrs]]="Y",1,0)</f>
        <v>0</v>
      </c>
      <c r="M32" s="371">
        <f>IF(PolicyData[[#This Row],[Region]]="EAST",1,0)</f>
        <v>0</v>
      </c>
    </row>
    <row r="33" spans="1:13" ht="16" x14ac:dyDescent="0.2">
      <c r="A33" s="142" t="s">
        <v>323</v>
      </c>
      <c r="B33" s="143">
        <v>46198</v>
      </c>
      <c r="C33" s="142" t="s">
        <v>292</v>
      </c>
      <c r="D33" s="142">
        <v>2026</v>
      </c>
      <c r="E33" s="142">
        <v>34</v>
      </c>
      <c r="F33" s="144" t="s">
        <v>282</v>
      </c>
      <c r="G33" s="142" t="s">
        <v>85</v>
      </c>
      <c r="H33" s="146">
        <v>1500</v>
      </c>
      <c r="I33" s="142" t="s">
        <v>290</v>
      </c>
      <c r="J33" s="142" t="s">
        <v>291</v>
      </c>
      <c r="K33" s="142" t="s">
        <v>290</v>
      </c>
      <c r="L33" s="371">
        <f>IF(PolicyData[[#This Row],[ClaimFiled_Last5Yrs]]="Y",1,0)</f>
        <v>0</v>
      </c>
      <c r="M33" s="371">
        <f>IF(PolicyData[[#This Row],[Region]]="EAST",1,0)</f>
        <v>0</v>
      </c>
    </row>
    <row r="34" spans="1:13" ht="16" x14ac:dyDescent="0.2">
      <c r="A34" s="142" t="s">
        <v>324</v>
      </c>
      <c r="B34" s="143">
        <v>46245</v>
      </c>
      <c r="C34" s="142" t="s">
        <v>293</v>
      </c>
      <c r="D34" s="142">
        <v>2020</v>
      </c>
      <c r="E34" s="142">
        <v>46</v>
      </c>
      <c r="F34" s="144" t="s">
        <v>281</v>
      </c>
      <c r="G34" s="142" t="s">
        <v>90</v>
      </c>
      <c r="H34" s="146">
        <v>1050</v>
      </c>
      <c r="I34" s="142" t="s">
        <v>291</v>
      </c>
      <c r="J34" s="142" t="s">
        <v>291</v>
      </c>
      <c r="K34" s="142" t="s">
        <v>290</v>
      </c>
      <c r="L34" s="371">
        <f>IF(PolicyData[[#This Row],[ClaimFiled_Last5Yrs]]="Y",1,0)</f>
        <v>1</v>
      </c>
      <c r="M34" s="371">
        <f>IF(PolicyData[[#This Row],[Region]]="EAST",1,0)</f>
        <v>0</v>
      </c>
    </row>
    <row r="35" spans="1:13" ht="16" x14ac:dyDescent="0.2">
      <c r="A35" s="142" t="s">
        <v>325</v>
      </c>
      <c r="B35" s="143">
        <v>46299</v>
      </c>
      <c r="C35" s="142" t="s">
        <v>295</v>
      </c>
      <c r="D35" s="142">
        <v>2026</v>
      </c>
      <c r="E35" s="142">
        <v>20</v>
      </c>
      <c r="F35" s="144" t="s">
        <v>283</v>
      </c>
      <c r="G35" s="142" t="s">
        <v>85</v>
      </c>
      <c r="H35" s="145">
        <v>2600</v>
      </c>
      <c r="I35" s="142" t="s">
        <v>290</v>
      </c>
      <c r="J35" s="142" t="s">
        <v>290</v>
      </c>
      <c r="K35" s="142" t="s">
        <v>291</v>
      </c>
      <c r="L35" s="371">
        <f>IF(PolicyData[[#This Row],[ClaimFiled_Last5Yrs]]="Y",1,0)</f>
        <v>0</v>
      </c>
      <c r="M35" s="371">
        <f>IF(PolicyData[[#This Row],[Region]]="EAST",1,0)</f>
        <v>1</v>
      </c>
    </row>
    <row r="36" spans="1:13" ht="16" x14ac:dyDescent="0.2">
      <c r="A36" s="142" t="s">
        <v>326</v>
      </c>
      <c r="B36" s="143">
        <v>46072</v>
      </c>
      <c r="C36" s="142" t="s">
        <v>296</v>
      </c>
      <c r="D36" s="142">
        <v>2017</v>
      </c>
      <c r="E36" s="142">
        <v>59</v>
      </c>
      <c r="F36" s="144" t="s">
        <v>294</v>
      </c>
      <c r="G36" s="142" t="s">
        <v>87</v>
      </c>
      <c r="H36" s="145">
        <v>980</v>
      </c>
      <c r="I36" s="142" t="s">
        <v>290</v>
      </c>
      <c r="J36" s="142" t="s">
        <v>291</v>
      </c>
      <c r="K36" s="142" t="s">
        <v>290</v>
      </c>
      <c r="L36" s="371">
        <f>IF(PolicyData[[#This Row],[ClaimFiled_Last5Yrs]]="Y",1,0)</f>
        <v>0</v>
      </c>
      <c r="M36" s="371">
        <f>IF(PolicyData[[#This Row],[Region]]="EAST",1,0)</f>
        <v>0</v>
      </c>
    </row>
    <row r="37" spans="1:13" ht="16" x14ac:dyDescent="0.2">
      <c r="A37" s="142" t="s">
        <v>327</v>
      </c>
      <c r="B37" s="143">
        <v>46134</v>
      </c>
      <c r="C37" s="142" t="s">
        <v>297</v>
      </c>
      <c r="D37" s="142">
        <v>2025</v>
      </c>
      <c r="E37" s="142">
        <v>31</v>
      </c>
      <c r="F37" s="144" t="s">
        <v>282</v>
      </c>
      <c r="G37" s="142" t="s">
        <v>85</v>
      </c>
      <c r="H37" s="145">
        <v>1900</v>
      </c>
      <c r="I37" s="142" t="s">
        <v>290</v>
      </c>
      <c r="J37" s="142" t="s">
        <v>291</v>
      </c>
      <c r="K37" s="142" t="s">
        <v>290</v>
      </c>
      <c r="L37" s="371">
        <f>IF(PolicyData[[#This Row],[ClaimFiled_Last5Yrs]]="Y",1,0)</f>
        <v>0</v>
      </c>
      <c r="M37" s="371">
        <f>IF(PolicyData[[#This Row],[Region]]="EAST",1,0)</f>
        <v>0</v>
      </c>
    </row>
    <row r="38" spans="1:13" ht="16" x14ac:dyDescent="0.2">
      <c r="A38" s="142" t="s">
        <v>328</v>
      </c>
      <c r="B38" s="143">
        <v>46217</v>
      </c>
      <c r="C38" s="142" t="s">
        <v>298</v>
      </c>
      <c r="D38" s="142">
        <v>2015</v>
      </c>
      <c r="E38" s="142">
        <v>75</v>
      </c>
      <c r="F38" s="144" t="s">
        <v>281</v>
      </c>
      <c r="G38" s="142" t="s">
        <v>87</v>
      </c>
      <c r="H38" s="145">
        <v>600</v>
      </c>
      <c r="I38" s="142" t="s">
        <v>290</v>
      </c>
      <c r="J38" s="142" t="s">
        <v>291</v>
      </c>
      <c r="K38" s="142" t="s">
        <v>290</v>
      </c>
      <c r="L38" s="371">
        <f>IF(PolicyData[[#This Row],[ClaimFiled_Last5Yrs]]="Y",1,0)</f>
        <v>0</v>
      </c>
      <c r="M38" s="371">
        <f>IF(PolicyData[[#This Row],[Region]]="EAST",1,0)</f>
        <v>0</v>
      </c>
    </row>
    <row r="39" spans="1:13" ht="16" x14ac:dyDescent="0.2">
      <c r="A39" s="142" t="s">
        <v>329</v>
      </c>
      <c r="B39" s="143">
        <v>46180</v>
      </c>
      <c r="C39" s="142" t="s">
        <v>299</v>
      </c>
      <c r="D39" s="142">
        <v>2026</v>
      </c>
      <c r="E39" s="142">
        <v>36</v>
      </c>
      <c r="F39" s="144" t="s">
        <v>283</v>
      </c>
      <c r="G39" s="142" t="s">
        <v>85</v>
      </c>
      <c r="H39" s="146">
        <v>1700</v>
      </c>
      <c r="I39" s="142" t="s">
        <v>291</v>
      </c>
      <c r="J39" s="142" t="s">
        <v>291</v>
      </c>
      <c r="K39" s="142" t="s">
        <v>290</v>
      </c>
      <c r="L39" s="371">
        <f>IF(PolicyData[[#This Row],[ClaimFiled_Last5Yrs]]="Y",1,0)</f>
        <v>1</v>
      </c>
      <c r="M39" s="371">
        <f>IF(PolicyData[[#This Row],[Region]]="EAST",1,0)</f>
        <v>1</v>
      </c>
    </row>
    <row r="40" spans="1:13" ht="16" x14ac:dyDescent="0.2">
      <c r="A40" s="142" t="s">
        <v>330</v>
      </c>
      <c r="B40" s="143">
        <v>46254</v>
      </c>
      <c r="C40" s="142" t="s">
        <v>300</v>
      </c>
      <c r="D40" s="142">
        <v>2019</v>
      </c>
      <c r="E40" s="142">
        <v>54</v>
      </c>
      <c r="F40" s="144" t="s">
        <v>294</v>
      </c>
      <c r="G40" s="142" t="s">
        <v>90</v>
      </c>
      <c r="H40" s="145">
        <v>1200</v>
      </c>
      <c r="I40" s="142" t="s">
        <v>290</v>
      </c>
      <c r="J40" s="142" t="s">
        <v>291</v>
      </c>
      <c r="K40" s="142" t="s">
        <v>290</v>
      </c>
      <c r="L40" s="371">
        <f>IF(PolicyData[[#This Row],[ClaimFiled_Last5Yrs]]="Y",1,0)</f>
        <v>0</v>
      </c>
      <c r="M40" s="371">
        <f>IF(PolicyData[[#This Row],[Region]]="EAST",1,0)</f>
        <v>0</v>
      </c>
    </row>
    <row r="41" spans="1:13" ht="16" x14ac:dyDescent="0.2">
      <c r="A41" s="142" t="s">
        <v>331</v>
      </c>
      <c r="B41" s="143">
        <v>46326</v>
      </c>
      <c r="C41" s="142" t="s">
        <v>301</v>
      </c>
      <c r="D41" s="142">
        <v>2024</v>
      </c>
      <c r="E41" s="142">
        <v>27</v>
      </c>
      <c r="F41" s="144" t="s">
        <v>282</v>
      </c>
      <c r="G41" s="142" t="s">
        <v>85</v>
      </c>
      <c r="H41" s="145">
        <v>2250</v>
      </c>
      <c r="I41" s="142" t="s">
        <v>291</v>
      </c>
      <c r="J41" s="142" t="s">
        <v>290</v>
      </c>
      <c r="K41" s="142" t="s">
        <v>290</v>
      </c>
      <c r="L41" s="371">
        <f>IF(PolicyData[[#This Row],[ClaimFiled_Last5Yrs]]="Y",1,0)</f>
        <v>1</v>
      </c>
      <c r="M41" s="371">
        <f>IF(PolicyData[[#This Row],[Region]]="EAST",1,0)</f>
        <v>0</v>
      </c>
    </row>
    <row r="42" spans="1:13" ht="16" x14ac:dyDescent="0.2">
      <c r="A42" s="142" t="s">
        <v>332</v>
      </c>
      <c r="B42" s="143">
        <v>46065</v>
      </c>
      <c r="C42" s="142" t="s">
        <v>289</v>
      </c>
      <c r="D42" s="142">
        <v>2025</v>
      </c>
      <c r="E42" s="142">
        <v>43</v>
      </c>
      <c r="F42" s="144" t="s">
        <v>281</v>
      </c>
      <c r="G42" s="142" t="s">
        <v>85</v>
      </c>
      <c r="H42" s="145">
        <v>1450</v>
      </c>
      <c r="I42" s="142" t="s">
        <v>290</v>
      </c>
      <c r="J42" s="142" t="s">
        <v>291</v>
      </c>
      <c r="K42" s="142" t="s">
        <v>290</v>
      </c>
      <c r="L42" s="371">
        <f>IF(PolicyData[[#This Row],[ClaimFiled_Last5Yrs]]="Y",1,0)</f>
        <v>0</v>
      </c>
      <c r="M42" s="371">
        <f>IF(PolicyData[[#This Row],[Region]]="EAST",1,0)</f>
        <v>0</v>
      </c>
    </row>
    <row r="43" spans="1:13" ht="16" x14ac:dyDescent="0.2">
      <c r="A43" s="142" t="s">
        <v>333</v>
      </c>
      <c r="B43" s="143">
        <v>45986</v>
      </c>
      <c r="C43" s="142" t="s">
        <v>292</v>
      </c>
      <c r="D43" s="142">
        <v>2017</v>
      </c>
      <c r="E43" s="142">
        <v>51</v>
      </c>
      <c r="F43" s="144" t="s">
        <v>283</v>
      </c>
      <c r="G43" s="142" t="s">
        <v>87</v>
      </c>
      <c r="H43" s="145">
        <v>780</v>
      </c>
      <c r="I43" s="142" t="s">
        <v>290</v>
      </c>
      <c r="J43" s="142" t="s">
        <v>291</v>
      </c>
      <c r="K43" s="142" t="s">
        <v>291</v>
      </c>
      <c r="L43" s="371">
        <f>IF(PolicyData[[#This Row],[ClaimFiled_Last5Yrs]]="Y",1,0)</f>
        <v>0</v>
      </c>
      <c r="M43" s="371">
        <f>IF(PolicyData[[#This Row],[Region]]="EAST",1,0)</f>
        <v>1</v>
      </c>
    </row>
    <row r="44" spans="1:13" ht="16" x14ac:dyDescent="0.2">
      <c r="A44" s="142" t="s">
        <v>334</v>
      </c>
      <c r="B44" s="143">
        <v>46089</v>
      </c>
      <c r="C44" s="142" t="s">
        <v>293</v>
      </c>
      <c r="D44" s="142">
        <v>2026</v>
      </c>
      <c r="E44" s="142">
        <v>22</v>
      </c>
      <c r="F44" s="144" t="s">
        <v>294</v>
      </c>
      <c r="G44" s="142" t="s">
        <v>85</v>
      </c>
      <c r="H44" s="145">
        <v>2550</v>
      </c>
      <c r="I44" s="142" t="s">
        <v>291</v>
      </c>
      <c r="J44" s="142" t="s">
        <v>290</v>
      </c>
      <c r="K44" s="142" t="s">
        <v>290</v>
      </c>
      <c r="L44" s="371">
        <f>IF(PolicyData[[#This Row],[ClaimFiled_Last5Yrs]]="Y",1,0)</f>
        <v>1</v>
      </c>
      <c r="M44" s="371">
        <f>IF(PolicyData[[#This Row],[Region]]="EAST",1,0)</f>
        <v>0</v>
      </c>
    </row>
    <row r="45" spans="1:13" ht="16" x14ac:dyDescent="0.2">
      <c r="A45" s="142" t="s">
        <v>335</v>
      </c>
      <c r="B45" s="143">
        <v>46161</v>
      </c>
      <c r="C45" s="142" t="s">
        <v>295</v>
      </c>
      <c r="D45" s="142">
        <v>2021</v>
      </c>
      <c r="E45" s="142">
        <v>56</v>
      </c>
      <c r="F45" s="144" t="s">
        <v>282</v>
      </c>
      <c r="G45" s="142" t="s">
        <v>90</v>
      </c>
      <c r="H45" s="146">
        <v>1020</v>
      </c>
      <c r="I45" s="142" t="s">
        <v>290</v>
      </c>
      <c r="J45" s="142" t="s">
        <v>291</v>
      </c>
      <c r="K45" s="142" t="s">
        <v>290</v>
      </c>
      <c r="L45" s="371">
        <f>IF(PolicyData[[#This Row],[ClaimFiled_Last5Yrs]]="Y",1,0)</f>
        <v>0</v>
      </c>
      <c r="M45" s="371">
        <f>IF(PolicyData[[#This Row],[Region]]="EAST",1,0)</f>
        <v>0</v>
      </c>
    </row>
    <row r="46" spans="1:13" ht="16" x14ac:dyDescent="0.2">
      <c r="A46" s="142" t="s">
        <v>336</v>
      </c>
      <c r="B46" s="143">
        <v>46209</v>
      </c>
      <c r="C46" s="142" t="s">
        <v>296</v>
      </c>
      <c r="D46" s="142">
        <v>2024</v>
      </c>
      <c r="E46" s="142">
        <v>44</v>
      </c>
      <c r="F46" s="144" t="s">
        <v>281</v>
      </c>
      <c r="G46" s="142" t="s">
        <v>85</v>
      </c>
      <c r="H46" s="145">
        <v>2000</v>
      </c>
      <c r="I46" s="142" t="s">
        <v>290</v>
      </c>
      <c r="J46" s="142" t="s">
        <v>291</v>
      </c>
      <c r="K46" s="142" t="s">
        <v>290</v>
      </c>
      <c r="L46" s="371">
        <f>IF(PolicyData[[#This Row],[ClaimFiled_Last5Yrs]]="Y",1,0)</f>
        <v>0</v>
      </c>
      <c r="M46" s="371">
        <f>IF(PolicyData[[#This Row],[Region]]="EAST",1,0)</f>
        <v>0</v>
      </c>
    </row>
    <row r="47" spans="1:13" ht="16" x14ac:dyDescent="0.2">
      <c r="A47" s="142" t="s">
        <v>337</v>
      </c>
      <c r="B47" s="143">
        <v>46282</v>
      </c>
      <c r="C47" s="142" t="s">
        <v>297</v>
      </c>
      <c r="D47" s="142">
        <v>2016</v>
      </c>
      <c r="E47" s="142">
        <v>63</v>
      </c>
      <c r="F47" s="144" t="s">
        <v>283</v>
      </c>
      <c r="G47" s="142" t="s">
        <v>87</v>
      </c>
      <c r="H47" s="145">
        <v>650</v>
      </c>
      <c r="I47" s="142" t="s">
        <v>290</v>
      </c>
      <c r="J47" s="142" t="s">
        <v>291</v>
      </c>
      <c r="K47" s="142" t="s">
        <v>290</v>
      </c>
      <c r="L47" s="371">
        <f>IF(PolicyData[[#This Row],[ClaimFiled_Last5Yrs]]="Y",1,0)</f>
        <v>0</v>
      </c>
      <c r="M47" s="371">
        <f>IF(PolicyData[[#This Row],[Region]]="EAST",1,0)</f>
        <v>1</v>
      </c>
    </row>
    <row r="48" spans="1:13" ht="16" x14ac:dyDescent="0.2">
      <c r="A48" s="142" t="s">
        <v>338</v>
      </c>
      <c r="B48" s="143">
        <v>46025</v>
      </c>
      <c r="C48" s="142" t="s">
        <v>298</v>
      </c>
      <c r="D48" s="142">
        <v>2026</v>
      </c>
      <c r="E48" s="142">
        <v>29</v>
      </c>
      <c r="F48" s="144" t="s">
        <v>282</v>
      </c>
      <c r="G48" s="142" t="s">
        <v>85</v>
      </c>
      <c r="H48" s="145">
        <v>2000</v>
      </c>
      <c r="I48" s="142" t="s">
        <v>291</v>
      </c>
      <c r="J48" s="142" t="s">
        <v>290</v>
      </c>
      <c r="K48" s="142" t="s">
        <v>290</v>
      </c>
      <c r="L48" s="371">
        <f>IF(PolicyData[[#This Row],[ClaimFiled_Last5Yrs]]="Y",1,0)</f>
        <v>1</v>
      </c>
      <c r="M48" s="371">
        <f>IF(PolicyData[[#This Row],[Region]]="EAST",1,0)</f>
        <v>0</v>
      </c>
    </row>
    <row r="49" spans="1:13" ht="16" x14ac:dyDescent="0.2">
      <c r="A49" s="142" t="s">
        <v>339</v>
      </c>
      <c r="B49" s="143">
        <v>46081</v>
      </c>
      <c r="C49" s="142" t="s">
        <v>299</v>
      </c>
      <c r="D49" s="142">
        <v>2025</v>
      </c>
      <c r="E49" s="142">
        <v>53</v>
      </c>
      <c r="F49" s="144" t="s">
        <v>294</v>
      </c>
      <c r="G49" s="142" t="s">
        <v>85</v>
      </c>
      <c r="H49" s="146">
        <v>1650</v>
      </c>
      <c r="I49" s="142" t="s">
        <v>290</v>
      </c>
      <c r="J49" s="142" t="s">
        <v>291</v>
      </c>
      <c r="K49" s="142" t="s">
        <v>290</v>
      </c>
      <c r="L49" s="371">
        <f>IF(PolicyData[[#This Row],[ClaimFiled_Last5Yrs]]="Y",1,0)</f>
        <v>0</v>
      </c>
      <c r="M49" s="371">
        <f>IF(PolicyData[[#This Row],[Region]]="EAST",1,0)</f>
        <v>0</v>
      </c>
    </row>
    <row r="50" spans="1:13" ht="16" x14ac:dyDescent="0.2">
      <c r="A50" s="142" t="s">
        <v>340</v>
      </c>
      <c r="B50" s="143">
        <v>46122</v>
      </c>
      <c r="C50" s="142" t="s">
        <v>300</v>
      </c>
      <c r="D50" s="142">
        <v>2015</v>
      </c>
      <c r="E50" s="142">
        <v>40</v>
      </c>
      <c r="F50" s="144" t="s">
        <v>281</v>
      </c>
      <c r="G50" s="142" t="s">
        <v>87</v>
      </c>
      <c r="H50" s="145">
        <v>810</v>
      </c>
      <c r="I50" s="142" t="s">
        <v>290</v>
      </c>
      <c r="J50" s="142" t="s">
        <v>291</v>
      </c>
      <c r="K50" s="142" t="s">
        <v>290</v>
      </c>
      <c r="L50" s="371">
        <f>IF(PolicyData[[#This Row],[ClaimFiled_Last5Yrs]]="Y",1,0)</f>
        <v>0</v>
      </c>
      <c r="M50" s="371">
        <f>IF(PolicyData[[#This Row],[Region]]="EAST",1,0)</f>
        <v>0</v>
      </c>
    </row>
    <row r="51" spans="1:13" ht="16" x14ac:dyDescent="0.2">
      <c r="A51" s="142" t="s">
        <v>341</v>
      </c>
      <c r="B51" s="143">
        <v>46171</v>
      </c>
      <c r="C51" s="142" t="s">
        <v>301</v>
      </c>
      <c r="D51" s="142">
        <v>2025</v>
      </c>
      <c r="E51" s="142">
        <v>26</v>
      </c>
      <c r="F51" s="144" t="s">
        <v>283</v>
      </c>
      <c r="G51" s="142" t="s">
        <v>85</v>
      </c>
      <c r="H51" s="146">
        <v>2250</v>
      </c>
      <c r="I51" s="142" t="s">
        <v>291</v>
      </c>
      <c r="J51" s="142" t="s">
        <v>291</v>
      </c>
      <c r="K51" s="142" t="s">
        <v>291</v>
      </c>
      <c r="L51" s="371">
        <f>IF(PolicyData[[#This Row],[ClaimFiled_Last5Yrs]]="Y",1,0)</f>
        <v>1</v>
      </c>
      <c r="M51" s="371">
        <f>IF(PolicyData[[#This Row],[Region]]="EAST",1,0)</f>
        <v>1</v>
      </c>
    </row>
    <row r="52" spans="1:13" ht="16" x14ac:dyDescent="0.2">
      <c r="A52" s="142" t="s">
        <v>342</v>
      </c>
      <c r="B52" s="143">
        <v>46193</v>
      </c>
      <c r="C52" s="142" t="s">
        <v>289</v>
      </c>
      <c r="D52" s="142">
        <v>2016</v>
      </c>
      <c r="E52" s="142">
        <v>69</v>
      </c>
      <c r="F52" s="144" t="s">
        <v>294</v>
      </c>
      <c r="G52" s="142" t="s">
        <v>87</v>
      </c>
      <c r="H52" s="145">
        <v>560</v>
      </c>
      <c r="I52" s="142" t="s">
        <v>290</v>
      </c>
      <c r="J52" s="142" t="s">
        <v>291</v>
      </c>
      <c r="K52" s="142" t="s">
        <v>290</v>
      </c>
      <c r="L52" s="371">
        <f>IF(PolicyData[[#This Row],[ClaimFiled_Last5Yrs]]="Y",1,0)</f>
        <v>0</v>
      </c>
      <c r="M52" s="371">
        <f>IF(PolicyData[[#This Row],[Region]]="EAST",1,0)</f>
        <v>0</v>
      </c>
    </row>
    <row r="53" spans="1:13" ht="16" x14ac:dyDescent="0.2">
      <c r="A53" s="142" t="s">
        <v>343</v>
      </c>
      <c r="B53" s="143">
        <v>46242</v>
      </c>
      <c r="C53" s="142" t="s">
        <v>292</v>
      </c>
      <c r="D53" s="142">
        <v>2026</v>
      </c>
      <c r="E53" s="142">
        <v>32</v>
      </c>
      <c r="F53" s="144" t="s">
        <v>282</v>
      </c>
      <c r="G53" s="142" t="s">
        <v>85</v>
      </c>
      <c r="H53" s="145">
        <v>1550</v>
      </c>
      <c r="I53" s="142" t="s">
        <v>290</v>
      </c>
      <c r="J53" s="142" t="s">
        <v>291</v>
      </c>
      <c r="K53" s="142" t="s">
        <v>290</v>
      </c>
      <c r="L53" s="371">
        <f>IF(PolicyData[[#This Row],[ClaimFiled_Last5Yrs]]="Y",1,0)</f>
        <v>0</v>
      </c>
      <c r="M53" s="371">
        <f>IF(PolicyData[[#This Row],[Region]]="EAST",1,0)</f>
        <v>0</v>
      </c>
    </row>
    <row r="54" spans="1:13" ht="16" x14ac:dyDescent="0.2">
      <c r="A54" s="142" t="s">
        <v>344</v>
      </c>
      <c r="B54" s="143">
        <v>46296</v>
      </c>
      <c r="C54" s="142" t="s">
        <v>293</v>
      </c>
      <c r="D54" s="142">
        <v>2021</v>
      </c>
      <c r="E54" s="142">
        <v>47</v>
      </c>
      <c r="F54" s="144" t="s">
        <v>281</v>
      </c>
      <c r="G54" s="142" t="s">
        <v>90</v>
      </c>
      <c r="H54" s="145">
        <v>1100</v>
      </c>
      <c r="I54" s="142" t="s">
        <v>291</v>
      </c>
      <c r="J54" s="142" t="s">
        <v>291</v>
      </c>
      <c r="K54" s="142" t="s">
        <v>290</v>
      </c>
      <c r="L54" s="371">
        <f>IF(PolicyData[[#This Row],[ClaimFiled_Last5Yrs]]="Y",1,0)</f>
        <v>1</v>
      </c>
      <c r="M54" s="371">
        <f>IF(PolicyData[[#This Row],[Region]]="EAST",1,0)</f>
        <v>0</v>
      </c>
    </row>
    <row r="55" spans="1:13" ht="16" x14ac:dyDescent="0.2">
      <c r="A55" s="142" t="s">
        <v>345</v>
      </c>
      <c r="B55" s="143">
        <v>46042</v>
      </c>
      <c r="C55" s="142" t="s">
        <v>295</v>
      </c>
      <c r="D55" s="142">
        <v>2026</v>
      </c>
      <c r="E55" s="142">
        <v>23</v>
      </c>
      <c r="F55" s="144" t="s">
        <v>283</v>
      </c>
      <c r="G55" s="142" t="s">
        <v>85</v>
      </c>
      <c r="H55" s="146">
        <v>2650</v>
      </c>
      <c r="I55" s="142" t="s">
        <v>290</v>
      </c>
      <c r="J55" s="142" t="s">
        <v>290</v>
      </c>
      <c r="K55" s="142" t="s">
        <v>291</v>
      </c>
      <c r="L55" s="371">
        <f>IF(PolicyData[[#This Row],[ClaimFiled_Last5Yrs]]="Y",1,0)</f>
        <v>0</v>
      </c>
      <c r="M55" s="371">
        <f>IF(PolicyData[[#This Row],[Region]]="EAST",1,0)</f>
        <v>1</v>
      </c>
    </row>
    <row r="56" spans="1:13" ht="16" x14ac:dyDescent="0.2">
      <c r="A56" s="142" t="s">
        <v>346</v>
      </c>
      <c r="B56" s="143">
        <v>46060</v>
      </c>
      <c r="C56" s="142" t="s">
        <v>296</v>
      </c>
      <c r="D56" s="142">
        <v>2016</v>
      </c>
      <c r="E56" s="142">
        <v>61</v>
      </c>
      <c r="F56" s="144" t="s">
        <v>294</v>
      </c>
      <c r="G56" s="142" t="s">
        <v>87</v>
      </c>
      <c r="H56" s="145">
        <v>880</v>
      </c>
      <c r="I56" s="142" t="s">
        <v>290</v>
      </c>
      <c r="J56" s="142" t="s">
        <v>291</v>
      </c>
      <c r="K56" s="142" t="s">
        <v>290</v>
      </c>
      <c r="L56" s="371">
        <f>IF(PolicyData[[#This Row],[ClaimFiled_Last5Yrs]]="Y",1,0)</f>
        <v>0</v>
      </c>
      <c r="M56" s="371">
        <f>IF(PolicyData[[#This Row],[Region]]="EAST",1,0)</f>
        <v>0</v>
      </c>
    </row>
    <row r="57" spans="1:13" ht="16" x14ac:dyDescent="0.2">
      <c r="A57" s="142" t="s">
        <v>347</v>
      </c>
      <c r="B57" s="143">
        <v>46136</v>
      </c>
      <c r="C57" s="142" t="s">
        <v>297</v>
      </c>
      <c r="D57" s="142">
        <v>2025</v>
      </c>
      <c r="E57" s="142">
        <v>33</v>
      </c>
      <c r="F57" s="144" t="s">
        <v>282</v>
      </c>
      <c r="G57" s="142" t="s">
        <v>85</v>
      </c>
      <c r="H57" s="145">
        <v>1800</v>
      </c>
      <c r="I57" s="142" t="s">
        <v>290</v>
      </c>
      <c r="J57" s="142" t="s">
        <v>291</v>
      </c>
      <c r="K57" s="142" t="s">
        <v>290</v>
      </c>
      <c r="L57" s="371">
        <f>IF(PolicyData[[#This Row],[ClaimFiled_Last5Yrs]]="Y",1,0)</f>
        <v>0</v>
      </c>
      <c r="M57" s="371">
        <f>IF(PolicyData[[#This Row],[Region]]="EAST",1,0)</f>
        <v>0</v>
      </c>
    </row>
    <row r="58" spans="1:13" ht="16" x14ac:dyDescent="0.2">
      <c r="A58" s="142" t="s">
        <v>348</v>
      </c>
      <c r="B58" s="143">
        <v>46158</v>
      </c>
      <c r="C58" s="142" t="s">
        <v>298</v>
      </c>
      <c r="D58" s="142">
        <v>2017</v>
      </c>
      <c r="E58" s="142">
        <v>74</v>
      </c>
      <c r="F58" s="144" t="s">
        <v>281</v>
      </c>
      <c r="G58" s="142" t="s">
        <v>87</v>
      </c>
      <c r="H58" s="146">
        <v>620</v>
      </c>
      <c r="I58" s="142" t="s">
        <v>290</v>
      </c>
      <c r="J58" s="142" t="s">
        <v>291</v>
      </c>
      <c r="K58" s="142" t="s">
        <v>290</v>
      </c>
      <c r="L58" s="371">
        <f>IF(PolicyData[[#This Row],[ClaimFiled_Last5Yrs]]="Y",1,0)</f>
        <v>0</v>
      </c>
      <c r="M58" s="371">
        <f>IF(PolicyData[[#This Row],[Region]]="EAST",1,0)</f>
        <v>0</v>
      </c>
    </row>
    <row r="59" spans="1:13" ht="16" x14ac:dyDescent="0.2">
      <c r="A59" s="142" t="s">
        <v>349</v>
      </c>
      <c r="B59" s="143">
        <v>46214</v>
      </c>
      <c r="C59" s="142" t="s">
        <v>299</v>
      </c>
      <c r="D59" s="142">
        <v>2026</v>
      </c>
      <c r="E59" s="142">
        <v>38</v>
      </c>
      <c r="F59" s="144" t="s">
        <v>283</v>
      </c>
      <c r="G59" s="142" t="s">
        <v>85</v>
      </c>
      <c r="H59" s="145">
        <v>1800</v>
      </c>
      <c r="I59" s="142" t="s">
        <v>291</v>
      </c>
      <c r="J59" s="142" t="s">
        <v>291</v>
      </c>
      <c r="K59" s="142" t="s">
        <v>290</v>
      </c>
      <c r="L59" s="371">
        <f>IF(PolicyData[[#This Row],[ClaimFiled_Last5Yrs]]="Y",1,0)</f>
        <v>1</v>
      </c>
      <c r="M59" s="371">
        <f>IF(PolicyData[[#This Row],[Region]]="EAST",1,0)</f>
        <v>1</v>
      </c>
    </row>
    <row r="60" spans="1:13" ht="16" x14ac:dyDescent="0.2">
      <c r="A60" s="142" t="s">
        <v>350</v>
      </c>
      <c r="B60" s="143">
        <v>46269</v>
      </c>
      <c r="C60" s="142" t="s">
        <v>300</v>
      </c>
      <c r="D60" s="142">
        <v>2020</v>
      </c>
      <c r="E60" s="142">
        <v>55</v>
      </c>
      <c r="F60" s="144" t="s">
        <v>294</v>
      </c>
      <c r="G60" s="142" t="s">
        <v>90</v>
      </c>
      <c r="H60" s="146">
        <v>1250</v>
      </c>
      <c r="I60" s="142" t="s">
        <v>290</v>
      </c>
      <c r="J60" s="142" t="s">
        <v>291</v>
      </c>
      <c r="K60" s="142" t="s">
        <v>290</v>
      </c>
      <c r="L60" s="371">
        <f>IF(PolicyData[[#This Row],[ClaimFiled_Last5Yrs]]="Y",1,0)</f>
        <v>0</v>
      </c>
      <c r="M60" s="371">
        <f>IF(PolicyData[[#This Row],[Region]]="EAST",1,0)</f>
        <v>0</v>
      </c>
    </row>
    <row r="61" spans="1:13" ht="16" x14ac:dyDescent="0.2">
      <c r="A61" s="142" t="s">
        <v>351</v>
      </c>
      <c r="B61" s="143">
        <v>46322</v>
      </c>
      <c r="C61" s="142" t="s">
        <v>301</v>
      </c>
      <c r="D61" s="142">
        <v>2025</v>
      </c>
      <c r="E61" s="142">
        <v>28</v>
      </c>
      <c r="F61" s="144" t="s">
        <v>282</v>
      </c>
      <c r="G61" s="142" t="s">
        <v>85</v>
      </c>
      <c r="H61" s="146">
        <v>2350</v>
      </c>
      <c r="I61" s="142" t="s">
        <v>291</v>
      </c>
      <c r="J61" s="142" t="s">
        <v>290</v>
      </c>
      <c r="K61" s="142" t="s">
        <v>290</v>
      </c>
      <c r="L61" s="371">
        <f>IF(PolicyData[[#This Row],[ClaimFiled_Last5Yrs]]="Y",1,0)</f>
        <v>1</v>
      </c>
      <c r="M61" s="371">
        <f>IF(PolicyData[[#This Row],[Region]]="EAST",1,0)</f>
        <v>0</v>
      </c>
    </row>
    <row r="62" spans="1:13" ht="16" x14ac:dyDescent="0.2">
      <c r="A62" s="142" t="s">
        <v>352</v>
      </c>
      <c r="B62" s="143">
        <v>46067</v>
      </c>
      <c r="C62" s="142" t="s">
        <v>289</v>
      </c>
      <c r="D62" s="142">
        <v>2025</v>
      </c>
      <c r="E62" s="142">
        <v>45</v>
      </c>
      <c r="F62" s="144" t="s">
        <v>281</v>
      </c>
      <c r="G62" s="142" t="s">
        <v>85</v>
      </c>
      <c r="H62" s="146">
        <v>1500</v>
      </c>
      <c r="I62" s="142" t="s">
        <v>290</v>
      </c>
      <c r="J62" s="142" t="s">
        <v>291</v>
      </c>
      <c r="K62" s="142" t="s">
        <v>290</v>
      </c>
      <c r="L62" s="371">
        <f>IF(PolicyData[[#This Row],[ClaimFiled_Last5Yrs]]="Y",1,0)</f>
        <v>0</v>
      </c>
      <c r="M62" s="371">
        <f>IF(PolicyData[[#This Row],[Region]]="EAST",1,0)</f>
        <v>0</v>
      </c>
    </row>
    <row r="63" spans="1:13" ht="16" x14ac:dyDescent="0.2">
      <c r="A63" s="142" t="s">
        <v>353</v>
      </c>
      <c r="B63" s="143">
        <v>45999</v>
      </c>
      <c r="C63" s="142" t="s">
        <v>292</v>
      </c>
      <c r="D63" s="142">
        <v>2018</v>
      </c>
      <c r="E63" s="142">
        <v>52</v>
      </c>
      <c r="F63" s="144" t="s">
        <v>283</v>
      </c>
      <c r="G63" s="142" t="s">
        <v>87</v>
      </c>
      <c r="H63" s="146">
        <v>800</v>
      </c>
      <c r="I63" s="142" t="s">
        <v>290</v>
      </c>
      <c r="J63" s="142" t="s">
        <v>291</v>
      </c>
      <c r="K63" s="142" t="s">
        <v>290</v>
      </c>
      <c r="L63" s="371">
        <f>IF(PolicyData[[#This Row],[ClaimFiled_Last5Yrs]]="Y",1,0)</f>
        <v>0</v>
      </c>
      <c r="M63" s="371">
        <f>IF(PolicyData[[#This Row],[Region]]="EAST",1,0)</f>
        <v>1</v>
      </c>
    </row>
    <row r="64" spans="1:13" ht="16" x14ac:dyDescent="0.2">
      <c r="A64" s="142" t="s">
        <v>354</v>
      </c>
      <c r="B64" s="143">
        <v>46122</v>
      </c>
      <c r="C64" s="142" t="s">
        <v>293</v>
      </c>
      <c r="D64" s="142">
        <v>2026</v>
      </c>
      <c r="E64" s="142">
        <v>24</v>
      </c>
      <c r="F64" s="144" t="s">
        <v>294</v>
      </c>
      <c r="G64" s="142" t="s">
        <v>85</v>
      </c>
      <c r="H64" s="145">
        <v>2600</v>
      </c>
      <c r="I64" s="142" t="s">
        <v>291</v>
      </c>
      <c r="J64" s="142" t="s">
        <v>290</v>
      </c>
      <c r="K64" s="142" t="s">
        <v>291</v>
      </c>
      <c r="L64" s="371">
        <f>IF(PolicyData[[#This Row],[ClaimFiled_Last5Yrs]]="Y",1,0)</f>
        <v>1</v>
      </c>
      <c r="M64" s="371">
        <f>IF(PolicyData[[#This Row],[Region]]="EAST",1,0)</f>
        <v>0</v>
      </c>
    </row>
    <row r="65" spans="1:13" ht="16" x14ac:dyDescent="0.2">
      <c r="A65" s="142" t="s">
        <v>355</v>
      </c>
      <c r="B65" s="143">
        <v>46176</v>
      </c>
      <c r="C65" s="142" t="s">
        <v>295</v>
      </c>
      <c r="D65" s="142">
        <v>2022</v>
      </c>
      <c r="E65" s="142">
        <v>57</v>
      </c>
      <c r="F65" s="144" t="s">
        <v>282</v>
      </c>
      <c r="G65" s="142" t="s">
        <v>90</v>
      </c>
      <c r="H65" s="146">
        <v>1050</v>
      </c>
      <c r="I65" s="142" t="s">
        <v>290</v>
      </c>
      <c r="J65" s="142" t="s">
        <v>291</v>
      </c>
      <c r="K65" s="142" t="s">
        <v>290</v>
      </c>
      <c r="L65" s="371">
        <f>IF(PolicyData[[#This Row],[ClaimFiled_Last5Yrs]]="Y",1,0)</f>
        <v>0</v>
      </c>
      <c r="M65" s="371">
        <f>IF(PolicyData[[#This Row],[Region]]="EAST",1,0)</f>
        <v>0</v>
      </c>
    </row>
    <row r="66" spans="1:13" ht="16" x14ac:dyDescent="0.2">
      <c r="A66" s="142" t="s">
        <v>356</v>
      </c>
      <c r="B66" s="143">
        <v>46229</v>
      </c>
      <c r="C66" s="142" t="s">
        <v>296</v>
      </c>
      <c r="D66" s="142">
        <v>2024</v>
      </c>
      <c r="E66" s="142">
        <v>46</v>
      </c>
      <c r="F66" s="144" t="s">
        <v>281</v>
      </c>
      <c r="G66" s="142" t="s">
        <v>85</v>
      </c>
      <c r="H66" s="145">
        <v>2050</v>
      </c>
      <c r="I66" s="142" t="s">
        <v>290</v>
      </c>
      <c r="J66" s="142" t="s">
        <v>291</v>
      </c>
      <c r="K66" s="142" t="s">
        <v>290</v>
      </c>
      <c r="L66" s="371">
        <f>IF(PolicyData[[#This Row],[ClaimFiled_Last5Yrs]]="Y",1,0)</f>
        <v>0</v>
      </c>
      <c r="M66" s="371">
        <f>IF(PolicyData[[#This Row],[Region]]="EAST",1,0)</f>
        <v>0</v>
      </c>
    </row>
    <row r="67" spans="1:13" ht="16" x14ac:dyDescent="0.2">
      <c r="A67" s="142" t="s">
        <v>357</v>
      </c>
      <c r="B67" s="143">
        <v>46273</v>
      </c>
      <c r="C67" s="142" t="s">
        <v>297</v>
      </c>
      <c r="D67" s="142">
        <v>2017</v>
      </c>
      <c r="E67" s="142">
        <v>64</v>
      </c>
      <c r="F67" s="144" t="s">
        <v>283</v>
      </c>
      <c r="G67" s="142" t="s">
        <v>87</v>
      </c>
      <c r="H67" s="145">
        <v>680</v>
      </c>
      <c r="I67" s="142" t="s">
        <v>290</v>
      </c>
      <c r="J67" s="142" t="s">
        <v>291</v>
      </c>
      <c r="K67" s="142" t="s">
        <v>290</v>
      </c>
      <c r="L67" s="371">
        <f>IF(PolicyData[[#This Row],[ClaimFiled_Last5Yrs]]="Y",1,0)</f>
        <v>0</v>
      </c>
      <c r="M67" s="371">
        <f>IF(PolicyData[[#This Row],[Region]]="EAST",1,0)</f>
        <v>1</v>
      </c>
    </row>
    <row r="68" spans="1:13" ht="16" x14ac:dyDescent="0.2">
      <c r="A68" s="142" t="s">
        <v>358</v>
      </c>
      <c r="B68" s="143">
        <v>46023</v>
      </c>
      <c r="C68" s="142" t="s">
        <v>298</v>
      </c>
      <c r="D68" s="142">
        <v>2026</v>
      </c>
      <c r="E68" s="142">
        <v>31</v>
      </c>
      <c r="F68" s="144" t="s">
        <v>282</v>
      </c>
      <c r="G68" s="142" t="s">
        <v>85</v>
      </c>
      <c r="H68" s="146">
        <v>2050</v>
      </c>
      <c r="I68" s="142" t="s">
        <v>291</v>
      </c>
      <c r="J68" s="142" t="s">
        <v>290</v>
      </c>
      <c r="K68" s="142" t="s">
        <v>290</v>
      </c>
      <c r="L68" s="371">
        <f>IF(PolicyData[[#This Row],[ClaimFiled_Last5Yrs]]="Y",1,0)</f>
        <v>1</v>
      </c>
      <c r="M68" s="371">
        <f>IF(PolicyData[[#This Row],[Region]]="EAST",1,0)</f>
        <v>0</v>
      </c>
    </row>
    <row r="69" spans="1:13" ht="16" x14ac:dyDescent="0.2">
      <c r="A69" s="142" t="s">
        <v>359</v>
      </c>
      <c r="B69" s="143">
        <v>46105</v>
      </c>
      <c r="C69" s="142" t="s">
        <v>299</v>
      </c>
      <c r="D69" s="142">
        <v>2025</v>
      </c>
      <c r="E69" s="142">
        <v>54</v>
      </c>
      <c r="F69" s="144" t="s">
        <v>294</v>
      </c>
      <c r="G69" s="142" t="s">
        <v>85</v>
      </c>
      <c r="H69" s="146">
        <v>1700</v>
      </c>
      <c r="I69" s="142" t="s">
        <v>290</v>
      </c>
      <c r="J69" s="142" t="s">
        <v>291</v>
      </c>
      <c r="K69" s="142" t="s">
        <v>290</v>
      </c>
      <c r="L69" s="371">
        <f>IF(PolicyData[[#This Row],[ClaimFiled_Last5Yrs]]="Y",1,0)</f>
        <v>0</v>
      </c>
      <c r="M69" s="371">
        <f>IF(PolicyData[[#This Row],[Region]]="EAST",1,0)</f>
        <v>0</v>
      </c>
    </row>
    <row r="70" spans="1:13" ht="16" x14ac:dyDescent="0.2">
      <c r="A70" s="142" t="s">
        <v>360</v>
      </c>
      <c r="B70" s="143">
        <v>46129</v>
      </c>
      <c r="C70" s="142" t="s">
        <v>300</v>
      </c>
      <c r="D70" s="142">
        <v>2016</v>
      </c>
      <c r="E70" s="142">
        <v>41</v>
      </c>
      <c r="F70" s="144" t="s">
        <v>281</v>
      </c>
      <c r="G70" s="142" t="s">
        <v>87</v>
      </c>
      <c r="H70" s="146">
        <v>830</v>
      </c>
      <c r="I70" s="142" t="s">
        <v>290</v>
      </c>
      <c r="J70" s="142" t="s">
        <v>291</v>
      </c>
      <c r="K70" s="142" t="s">
        <v>291</v>
      </c>
      <c r="L70" s="371">
        <f>IF(PolicyData[[#This Row],[ClaimFiled_Last5Yrs]]="Y",1,0)</f>
        <v>0</v>
      </c>
      <c r="M70" s="371">
        <f>IF(PolicyData[[#This Row],[Region]]="EAST",1,0)</f>
        <v>0</v>
      </c>
    </row>
    <row r="71" spans="1:13" ht="16" x14ac:dyDescent="0.2">
      <c r="A71" s="142" t="s">
        <v>361</v>
      </c>
      <c r="B71" s="143">
        <v>46147</v>
      </c>
      <c r="C71" s="142" t="s">
        <v>301</v>
      </c>
      <c r="D71" s="142">
        <v>2026</v>
      </c>
      <c r="E71" s="142">
        <v>27</v>
      </c>
      <c r="F71" s="144" t="s">
        <v>283</v>
      </c>
      <c r="G71" s="142" t="s">
        <v>85</v>
      </c>
      <c r="H71" s="146">
        <v>2300</v>
      </c>
      <c r="I71" s="142" t="s">
        <v>291</v>
      </c>
      <c r="J71" s="142" t="s">
        <v>291</v>
      </c>
      <c r="K71" s="142" t="s">
        <v>290</v>
      </c>
      <c r="L71" s="371">
        <f>IF(PolicyData[[#This Row],[ClaimFiled_Last5Yrs]]="Y",1,0)</f>
        <v>1</v>
      </c>
      <c r="M71" s="371">
        <f>IF(PolicyData[[#This Row],[Region]]="EAST",1,0)</f>
        <v>1</v>
      </c>
    </row>
    <row r="72" spans="1:13" ht="16" x14ac:dyDescent="0.2">
      <c r="A72" s="142" t="s">
        <v>362</v>
      </c>
      <c r="B72" s="143">
        <v>46202</v>
      </c>
      <c r="C72" s="142" t="s">
        <v>289</v>
      </c>
      <c r="D72" s="142">
        <v>2018</v>
      </c>
      <c r="E72" s="142">
        <v>71</v>
      </c>
      <c r="F72" s="144" t="s">
        <v>294</v>
      </c>
      <c r="G72" s="142" t="s">
        <v>87</v>
      </c>
      <c r="H72" s="146">
        <v>570</v>
      </c>
      <c r="I72" s="142" t="s">
        <v>290</v>
      </c>
      <c r="J72" s="142" t="s">
        <v>291</v>
      </c>
      <c r="K72" s="142" t="s">
        <v>290</v>
      </c>
      <c r="L72" s="371">
        <f>IF(PolicyData[[#This Row],[ClaimFiled_Last5Yrs]]="Y",1,0)</f>
        <v>0</v>
      </c>
      <c r="M72" s="371">
        <f>IF(PolicyData[[#This Row],[Region]]="EAST",1,0)</f>
        <v>0</v>
      </c>
    </row>
    <row r="73" spans="1:13" ht="16" x14ac:dyDescent="0.2">
      <c r="A73" s="142" t="s">
        <v>363</v>
      </c>
      <c r="B73" s="143">
        <v>46249</v>
      </c>
      <c r="C73" s="142" t="s">
        <v>292</v>
      </c>
      <c r="D73" s="142">
        <v>2026</v>
      </c>
      <c r="E73" s="142">
        <v>35</v>
      </c>
      <c r="F73" s="144" t="s">
        <v>282</v>
      </c>
      <c r="G73" s="142" t="s">
        <v>85</v>
      </c>
      <c r="H73" s="146">
        <v>1600</v>
      </c>
      <c r="I73" s="142" t="s">
        <v>290</v>
      </c>
      <c r="J73" s="142" t="s">
        <v>291</v>
      </c>
      <c r="K73" s="142" t="s">
        <v>290</v>
      </c>
      <c r="L73" s="371">
        <f>IF(PolicyData[[#This Row],[ClaimFiled_Last5Yrs]]="Y",1,0)</f>
        <v>0</v>
      </c>
      <c r="M73" s="371">
        <f>IF(PolicyData[[#This Row],[Region]]="EAST",1,0)</f>
        <v>0</v>
      </c>
    </row>
    <row r="74" spans="1:13" ht="16" x14ac:dyDescent="0.2">
      <c r="A74" s="142" t="s">
        <v>364</v>
      </c>
      <c r="B74" s="143">
        <v>46302</v>
      </c>
      <c r="C74" s="142" t="s">
        <v>293</v>
      </c>
      <c r="D74" s="142">
        <v>2022</v>
      </c>
      <c r="E74" s="142">
        <v>48</v>
      </c>
      <c r="F74" s="144" t="s">
        <v>281</v>
      </c>
      <c r="G74" s="142" t="s">
        <v>90</v>
      </c>
      <c r="H74" s="146">
        <v>1150</v>
      </c>
      <c r="I74" s="142" t="s">
        <v>291</v>
      </c>
      <c r="J74" s="142" t="s">
        <v>291</v>
      </c>
      <c r="K74" s="142" t="s">
        <v>290</v>
      </c>
      <c r="L74" s="371">
        <f>IF(PolicyData[[#This Row],[ClaimFiled_Last5Yrs]]="Y",1,0)</f>
        <v>1</v>
      </c>
      <c r="M74" s="371">
        <f>IF(PolicyData[[#This Row],[Region]]="EAST",1,0)</f>
        <v>0</v>
      </c>
    </row>
    <row r="75" spans="1:13" ht="16" x14ac:dyDescent="0.2">
      <c r="A75" s="142" t="s">
        <v>365</v>
      </c>
      <c r="B75" s="143">
        <v>46078</v>
      </c>
      <c r="C75" s="142" t="s">
        <v>295</v>
      </c>
      <c r="D75" s="142">
        <v>2026</v>
      </c>
      <c r="E75" s="142">
        <v>21</v>
      </c>
      <c r="F75" s="144" t="s">
        <v>283</v>
      </c>
      <c r="G75" s="142" t="s">
        <v>85</v>
      </c>
      <c r="H75" s="145">
        <v>2700</v>
      </c>
      <c r="I75" s="142" t="s">
        <v>290</v>
      </c>
      <c r="J75" s="142" t="s">
        <v>290</v>
      </c>
      <c r="K75" s="142" t="s">
        <v>291</v>
      </c>
      <c r="L75" s="371">
        <f>IF(PolicyData[[#This Row],[ClaimFiled_Last5Yrs]]="Y",1,0)</f>
        <v>0</v>
      </c>
      <c r="M75" s="371">
        <f>IF(PolicyData[[#This Row],[Region]]="EAST",1,0)</f>
        <v>1</v>
      </c>
    </row>
    <row r="76" spans="1:13" ht="16" x14ac:dyDescent="0.2">
      <c r="A76" s="142" t="s">
        <v>366</v>
      </c>
      <c r="B76" s="143">
        <v>46094</v>
      </c>
      <c r="C76" s="142" t="s">
        <v>296</v>
      </c>
      <c r="D76" s="142">
        <v>2018</v>
      </c>
      <c r="E76" s="142">
        <v>62</v>
      </c>
      <c r="F76" s="144" t="s">
        <v>294</v>
      </c>
      <c r="G76" s="142" t="s">
        <v>87</v>
      </c>
      <c r="H76" s="145">
        <v>910</v>
      </c>
      <c r="I76" s="142" t="s">
        <v>290</v>
      </c>
      <c r="J76" s="142" t="s">
        <v>291</v>
      </c>
      <c r="K76" s="142" t="s">
        <v>290</v>
      </c>
      <c r="L76" s="371">
        <f>IF(PolicyData[[#This Row],[ClaimFiled_Last5Yrs]]="Y",1,0)</f>
        <v>0</v>
      </c>
      <c r="M76" s="371">
        <f>IF(PolicyData[[#This Row],[Region]]="EAST",1,0)</f>
        <v>0</v>
      </c>
    </row>
    <row r="77" spans="1:13" ht="16" x14ac:dyDescent="0.2">
      <c r="A77" s="142" t="s">
        <v>367</v>
      </c>
      <c r="B77" s="143">
        <v>46142</v>
      </c>
      <c r="C77" s="142" t="s">
        <v>297</v>
      </c>
      <c r="D77" s="142">
        <v>2025</v>
      </c>
      <c r="E77" s="142">
        <v>34</v>
      </c>
      <c r="F77" s="144" t="s">
        <v>282</v>
      </c>
      <c r="G77" s="142" t="s">
        <v>85</v>
      </c>
      <c r="H77" s="145">
        <v>1950</v>
      </c>
      <c r="I77" s="142" t="s">
        <v>290</v>
      </c>
      <c r="J77" s="142" t="s">
        <v>291</v>
      </c>
      <c r="K77" s="142" t="s">
        <v>290</v>
      </c>
      <c r="L77" s="371">
        <f>IF(PolicyData[[#This Row],[ClaimFiled_Last5Yrs]]="Y",1,0)</f>
        <v>0</v>
      </c>
      <c r="M77" s="371">
        <f>IF(PolicyData[[#This Row],[Region]]="EAST",1,0)</f>
        <v>0</v>
      </c>
    </row>
    <row r="78" spans="1:13" ht="16" x14ac:dyDescent="0.2">
      <c r="A78" s="142" t="s">
        <v>368</v>
      </c>
      <c r="B78" s="143">
        <v>46162</v>
      </c>
      <c r="C78" s="142" t="s">
        <v>298</v>
      </c>
      <c r="D78" s="142">
        <v>2016</v>
      </c>
      <c r="E78" s="142">
        <v>76</v>
      </c>
      <c r="F78" s="144" t="s">
        <v>281</v>
      </c>
      <c r="G78" s="142" t="s">
        <v>87</v>
      </c>
      <c r="H78" s="145">
        <v>660</v>
      </c>
      <c r="I78" s="142" t="s">
        <v>290</v>
      </c>
      <c r="J78" s="142" t="s">
        <v>291</v>
      </c>
      <c r="K78" s="142" t="s">
        <v>290</v>
      </c>
      <c r="L78" s="371">
        <f>IF(PolicyData[[#This Row],[ClaimFiled_Last5Yrs]]="Y",1,0)</f>
        <v>0</v>
      </c>
      <c r="M78" s="371">
        <f>IF(PolicyData[[#This Row],[Region]]="EAST",1,0)</f>
        <v>0</v>
      </c>
    </row>
    <row r="79" spans="1:13" ht="16" x14ac:dyDescent="0.2">
      <c r="A79" s="142" t="s">
        <v>369</v>
      </c>
      <c r="B79" s="143">
        <v>46218</v>
      </c>
      <c r="C79" s="142" t="s">
        <v>299</v>
      </c>
      <c r="D79" s="142">
        <v>2026</v>
      </c>
      <c r="E79" s="142">
        <v>39</v>
      </c>
      <c r="F79" s="144" t="s">
        <v>283</v>
      </c>
      <c r="G79" s="142" t="s">
        <v>85</v>
      </c>
      <c r="H79" s="145">
        <v>1850</v>
      </c>
      <c r="I79" s="142" t="s">
        <v>291</v>
      </c>
      <c r="J79" s="142" t="s">
        <v>291</v>
      </c>
      <c r="K79" s="142" t="s">
        <v>290</v>
      </c>
      <c r="L79" s="371">
        <f>IF(PolicyData[[#This Row],[ClaimFiled_Last5Yrs]]="Y",1,0)</f>
        <v>1</v>
      </c>
      <c r="M79" s="371">
        <f>IF(PolicyData[[#This Row],[Region]]="EAST",1,0)</f>
        <v>1</v>
      </c>
    </row>
    <row r="80" spans="1:13" ht="16" x14ac:dyDescent="0.2">
      <c r="A80" s="142" t="s">
        <v>370</v>
      </c>
      <c r="B80" s="143">
        <v>46271</v>
      </c>
      <c r="C80" s="142" t="s">
        <v>300</v>
      </c>
      <c r="D80" s="142">
        <v>2021</v>
      </c>
      <c r="E80" s="142">
        <v>56</v>
      </c>
      <c r="F80" s="144" t="s">
        <v>294</v>
      </c>
      <c r="G80" s="142" t="s">
        <v>90</v>
      </c>
      <c r="H80" s="145">
        <v>1300</v>
      </c>
      <c r="I80" s="142" t="s">
        <v>290</v>
      </c>
      <c r="J80" s="142" t="s">
        <v>291</v>
      </c>
      <c r="K80" s="142" t="s">
        <v>290</v>
      </c>
      <c r="L80" s="371">
        <f>IF(PolicyData[[#This Row],[ClaimFiled_Last5Yrs]]="Y",1,0)</f>
        <v>0</v>
      </c>
      <c r="M80" s="371">
        <f>IF(PolicyData[[#This Row],[Region]]="EAST",1,0)</f>
        <v>0</v>
      </c>
    </row>
    <row r="81" spans="1:13" ht="16" x14ac:dyDescent="0.2">
      <c r="A81" s="142" t="s">
        <v>371</v>
      </c>
      <c r="B81" s="143">
        <v>46324</v>
      </c>
      <c r="C81" s="142" t="s">
        <v>301</v>
      </c>
      <c r="D81" s="142">
        <v>2026</v>
      </c>
      <c r="E81" s="142">
        <v>29</v>
      </c>
      <c r="F81" s="144" t="s">
        <v>282</v>
      </c>
      <c r="G81" s="142" t="s">
        <v>85</v>
      </c>
      <c r="H81" s="146">
        <v>2400</v>
      </c>
      <c r="I81" s="142" t="s">
        <v>291</v>
      </c>
      <c r="J81" s="142" t="s">
        <v>290</v>
      </c>
      <c r="K81" s="142" t="s">
        <v>290</v>
      </c>
      <c r="L81" s="371">
        <f>IF(PolicyData[[#This Row],[ClaimFiled_Last5Yrs]]="Y",1,0)</f>
        <v>1</v>
      </c>
      <c r="M81" s="371">
        <f>IF(PolicyData[[#This Row],[Region]]="EAST",1,0)</f>
        <v>0</v>
      </c>
    </row>
    <row r="82" spans="1:13" ht="16" x14ac:dyDescent="0.2">
      <c r="A82" s="142" t="s">
        <v>372</v>
      </c>
      <c r="B82" s="143">
        <v>46069</v>
      </c>
      <c r="C82" s="142" t="s">
        <v>289</v>
      </c>
      <c r="D82" s="142">
        <v>2026</v>
      </c>
      <c r="E82" s="142">
        <v>47</v>
      </c>
      <c r="F82" s="144" t="s">
        <v>281</v>
      </c>
      <c r="G82" s="142" t="s">
        <v>85</v>
      </c>
      <c r="H82" s="145">
        <v>1550</v>
      </c>
      <c r="I82" s="142" t="s">
        <v>290</v>
      </c>
      <c r="J82" s="142" t="s">
        <v>291</v>
      </c>
      <c r="K82" s="142" t="s">
        <v>290</v>
      </c>
      <c r="L82" s="371">
        <f>IF(PolicyData[[#This Row],[ClaimFiled_Last5Yrs]]="Y",1,0)</f>
        <v>0</v>
      </c>
      <c r="M82" s="371">
        <f>IF(PolicyData[[#This Row],[Region]]="EAST",1,0)</f>
        <v>0</v>
      </c>
    </row>
    <row r="83" spans="1:13" ht="16" x14ac:dyDescent="0.2">
      <c r="A83" s="142" t="s">
        <v>373</v>
      </c>
      <c r="B83" s="143">
        <v>45995</v>
      </c>
      <c r="C83" s="142" t="s">
        <v>292</v>
      </c>
      <c r="D83" s="142">
        <v>2019</v>
      </c>
      <c r="E83" s="142">
        <v>53</v>
      </c>
      <c r="F83" s="144" t="s">
        <v>283</v>
      </c>
      <c r="G83" s="142" t="s">
        <v>87</v>
      </c>
      <c r="H83" s="145">
        <v>810</v>
      </c>
      <c r="I83" s="142" t="s">
        <v>290</v>
      </c>
      <c r="J83" s="142" t="s">
        <v>291</v>
      </c>
      <c r="K83" s="142" t="s">
        <v>290</v>
      </c>
      <c r="L83" s="371">
        <f>IF(PolicyData[[#This Row],[ClaimFiled_Last5Yrs]]="Y",1,0)</f>
        <v>0</v>
      </c>
      <c r="M83" s="371">
        <f>IF(PolicyData[[#This Row],[Region]]="EAST",1,0)</f>
        <v>1</v>
      </c>
    </row>
    <row r="84" spans="1:13" ht="16" x14ac:dyDescent="0.2">
      <c r="A84" s="142" t="s">
        <v>374</v>
      </c>
      <c r="B84" s="143">
        <v>46124</v>
      </c>
      <c r="C84" s="142" t="s">
        <v>293</v>
      </c>
      <c r="D84" s="142">
        <v>2026</v>
      </c>
      <c r="E84" s="142">
        <v>25</v>
      </c>
      <c r="F84" s="144" t="s">
        <v>294</v>
      </c>
      <c r="G84" s="142" t="s">
        <v>85</v>
      </c>
      <c r="H84" s="146">
        <v>2650</v>
      </c>
      <c r="I84" s="142" t="s">
        <v>291</v>
      </c>
      <c r="J84" s="142" t="s">
        <v>290</v>
      </c>
      <c r="K84" s="142" t="s">
        <v>291</v>
      </c>
      <c r="L84" s="371">
        <f>IF(PolicyData[[#This Row],[ClaimFiled_Last5Yrs]]="Y",1,0)</f>
        <v>1</v>
      </c>
      <c r="M84" s="371">
        <f>IF(PolicyData[[#This Row],[Region]]="EAST",1,0)</f>
        <v>0</v>
      </c>
    </row>
    <row r="85" spans="1:13" ht="16" x14ac:dyDescent="0.2">
      <c r="A85" s="142" t="s">
        <v>375</v>
      </c>
      <c r="B85" s="143">
        <v>46178</v>
      </c>
      <c r="C85" s="142" t="s">
        <v>295</v>
      </c>
      <c r="D85" s="142">
        <v>2023</v>
      </c>
      <c r="E85" s="142">
        <v>58</v>
      </c>
      <c r="F85" s="144" t="s">
        <v>282</v>
      </c>
      <c r="G85" s="142" t="s">
        <v>90</v>
      </c>
      <c r="H85" s="145">
        <v>1080</v>
      </c>
      <c r="I85" s="142" t="s">
        <v>290</v>
      </c>
      <c r="J85" s="142" t="s">
        <v>291</v>
      </c>
      <c r="K85" s="142" t="s">
        <v>290</v>
      </c>
      <c r="L85" s="371">
        <f>IF(PolicyData[[#This Row],[ClaimFiled_Last5Yrs]]="Y",1,0)</f>
        <v>0</v>
      </c>
      <c r="M85" s="371">
        <f>IF(PolicyData[[#This Row],[Region]]="EAST",1,0)</f>
        <v>0</v>
      </c>
    </row>
    <row r="86" spans="1:13" ht="16" x14ac:dyDescent="0.2">
      <c r="A86" s="142" t="s">
        <v>376</v>
      </c>
      <c r="B86" s="143">
        <v>46231</v>
      </c>
      <c r="C86" s="142" t="s">
        <v>296</v>
      </c>
      <c r="D86" s="142">
        <v>2025</v>
      </c>
      <c r="E86" s="142">
        <v>48</v>
      </c>
      <c r="F86" s="144" t="s">
        <v>281</v>
      </c>
      <c r="G86" s="142" t="s">
        <v>85</v>
      </c>
      <c r="H86" s="146">
        <v>2100</v>
      </c>
      <c r="I86" s="142" t="s">
        <v>290</v>
      </c>
      <c r="J86" s="142" t="s">
        <v>291</v>
      </c>
      <c r="K86" s="142" t="s">
        <v>290</v>
      </c>
      <c r="L86" s="371">
        <f>IF(PolicyData[[#This Row],[ClaimFiled_Last5Yrs]]="Y",1,0)</f>
        <v>0</v>
      </c>
      <c r="M86" s="371">
        <f>IF(PolicyData[[#This Row],[Region]]="EAST",1,0)</f>
        <v>0</v>
      </c>
    </row>
    <row r="87" spans="1:13" ht="16" x14ac:dyDescent="0.2">
      <c r="A87" s="142" t="s">
        <v>377</v>
      </c>
      <c r="B87" s="143">
        <v>46275</v>
      </c>
      <c r="C87" s="142" t="s">
        <v>297</v>
      </c>
      <c r="D87" s="142">
        <v>2018</v>
      </c>
      <c r="E87" s="142">
        <v>65</v>
      </c>
      <c r="F87" s="144" t="s">
        <v>283</v>
      </c>
      <c r="G87" s="142" t="s">
        <v>87</v>
      </c>
      <c r="H87" s="145">
        <v>710</v>
      </c>
      <c r="I87" s="142" t="s">
        <v>290</v>
      </c>
      <c r="J87" s="142" t="s">
        <v>291</v>
      </c>
      <c r="K87" s="142" t="s">
        <v>290</v>
      </c>
      <c r="L87" s="371">
        <f>IF(PolicyData[[#This Row],[ClaimFiled_Last5Yrs]]="Y",1,0)</f>
        <v>0</v>
      </c>
      <c r="M87" s="371">
        <f>IF(PolicyData[[#This Row],[Region]]="EAST",1,0)</f>
        <v>1</v>
      </c>
    </row>
    <row r="88" spans="1:13" ht="16" x14ac:dyDescent="0.2">
      <c r="A88" s="142" t="s">
        <v>378</v>
      </c>
      <c r="B88" s="143">
        <v>46029</v>
      </c>
      <c r="C88" s="142" t="s">
        <v>298</v>
      </c>
      <c r="D88" s="142">
        <v>2026</v>
      </c>
      <c r="E88" s="142">
        <v>32</v>
      </c>
      <c r="F88" s="144" t="s">
        <v>282</v>
      </c>
      <c r="G88" s="142" t="s">
        <v>85</v>
      </c>
      <c r="H88" s="145">
        <v>2100</v>
      </c>
      <c r="I88" s="142" t="s">
        <v>291</v>
      </c>
      <c r="J88" s="142" t="s">
        <v>290</v>
      </c>
      <c r="K88" s="142" t="s">
        <v>290</v>
      </c>
      <c r="L88" s="371">
        <f>IF(PolicyData[[#This Row],[ClaimFiled_Last5Yrs]]="Y",1,0)</f>
        <v>1</v>
      </c>
      <c r="M88" s="371">
        <f>IF(PolicyData[[#This Row],[Region]]="EAST",1,0)</f>
        <v>0</v>
      </c>
    </row>
    <row r="89" spans="1:13" ht="16" x14ac:dyDescent="0.2">
      <c r="A89" s="142" t="s">
        <v>379</v>
      </c>
      <c r="B89" s="143">
        <v>46107</v>
      </c>
      <c r="C89" s="142" t="s">
        <v>299</v>
      </c>
      <c r="D89" s="142">
        <v>2026</v>
      </c>
      <c r="E89" s="142">
        <v>55</v>
      </c>
      <c r="F89" s="144" t="s">
        <v>294</v>
      </c>
      <c r="G89" s="142" t="s">
        <v>85</v>
      </c>
      <c r="H89" s="146">
        <v>1750</v>
      </c>
      <c r="I89" s="142" t="s">
        <v>290</v>
      </c>
      <c r="J89" s="142" t="s">
        <v>291</v>
      </c>
      <c r="K89" s="142" t="s">
        <v>290</v>
      </c>
      <c r="L89" s="371">
        <f>IF(PolicyData[[#This Row],[ClaimFiled_Last5Yrs]]="Y",1,0)</f>
        <v>0</v>
      </c>
      <c r="M89" s="371">
        <f>IF(PolicyData[[#This Row],[Region]]="EAST",1,0)</f>
        <v>0</v>
      </c>
    </row>
    <row r="90" spans="1:13" ht="16" x14ac:dyDescent="0.2">
      <c r="A90" s="142" t="s">
        <v>380</v>
      </c>
      <c r="B90" s="143">
        <v>46131</v>
      </c>
      <c r="C90" s="142" t="s">
        <v>300</v>
      </c>
      <c r="D90" s="142">
        <v>2017</v>
      </c>
      <c r="E90" s="142">
        <v>42</v>
      </c>
      <c r="F90" s="144" t="s">
        <v>281</v>
      </c>
      <c r="G90" s="142" t="s">
        <v>87</v>
      </c>
      <c r="H90" s="145">
        <v>850</v>
      </c>
      <c r="I90" s="142" t="s">
        <v>290</v>
      </c>
      <c r="J90" s="142" t="s">
        <v>291</v>
      </c>
      <c r="K90" s="142" t="s">
        <v>290</v>
      </c>
      <c r="L90" s="371">
        <f>IF(PolicyData[[#This Row],[ClaimFiled_Last5Yrs]]="Y",1,0)</f>
        <v>0</v>
      </c>
      <c r="M90" s="371">
        <f>IF(PolicyData[[#This Row],[Region]]="EAST",1,0)</f>
        <v>0</v>
      </c>
    </row>
    <row r="91" spans="1:13" ht="16" x14ac:dyDescent="0.2">
      <c r="A91" s="142" t="s">
        <v>381</v>
      </c>
      <c r="B91" s="143">
        <v>46149</v>
      </c>
      <c r="C91" s="142" t="s">
        <v>301</v>
      </c>
      <c r="D91" s="142">
        <v>2026</v>
      </c>
      <c r="E91" s="142">
        <v>28</v>
      </c>
      <c r="F91" s="144" t="s">
        <v>283</v>
      </c>
      <c r="G91" s="142" t="s">
        <v>85</v>
      </c>
      <c r="H91" s="146">
        <v>2350</v>
      </c>
      <c r="I91" s="142" t="s">
        <v>291</v>
      </c>
      <c r="J91" s="142" t="s">
        <v>291</v>
      </c>
      <c r="K91" s="142" t="s">
        <v>291</v>
      </c>
      <c r="L91" s="371">
        <f>IF(PolicyData[[#This Row],[ClaimFiled_Last5Yrs]]="Y",1,0)</f>
        <v>1</v>
      </c>
      <c r="M91" s="371">
        <f>IF(PolicyData[[#This Row],[Region]]="EAST",1,0)</f>
        <v>1</v>
      </c>
    </row>
    <row r="92" spans="1:13" ht="16" x14ac:dyDescent="0.2">
      <c r="A92" s="142" t="s">
        <v>382</v>
      </c>
      <c r="B92" s="147">
        <v>46203</v>
      </c>
      <c r="C92" s="142" t="s">
        <v>289</v>
      </c>
      <c r="D92" s="142">
        <v>2019</v>
      </c>
      <c r="E92" s="142">
        <v>72</v>
      </c>
      <c r="F92" s="144" t="s">
        <v>294</v>
      </c>
      <c r="G92" s="142" t="s">
        <v>87</v>
      </c>
      <c r="H92" s="145">
        <v>590</v>
      </c>
      <c r="I92" s="142" t="s">
        <v>290</v>
      </c>
      <c r="J92" s="142" t="s">
        <v>291</v>
      </c>
      <c r="K92" s="142" t="s">
        <v>290</v>
      </c>
      <c r="L92" s="371">
        <f>IF(PolicyData[[#This Row],[ClaimFiled_Last5Yrs]]="Y",1,0)</f>
        <v>0</v>
      </c>
      <c r="M92" s="371">
        <f>IF(PolicyData[[#This Row],[Region]]="EAST",1,0)</f>
        <v>0</v>
      </c>
    </row>
    <row r="93" spans="1:13" ht="16" x14ac:dyDescent="0.2">
      <c r="A93" s="142" t="s">
        <v>383</v>
      </c>
      <c r="B93" s="143">
        <v>46251</v>
      </c>
      <c r="C93" s="142" t="s">
        <v>292</v>
      </c>
      <c r="D93" s="142">
        <v>2026</v>
      </c>
      <c r="E93" s="142">
        <v>36</v>
      </c>
      <c r="F93" s="144" t="s">
        <v>282</v>
      </c>
      <c r="G93" s="142" t="s">
        <v>85</v>
      </c>
      <c r="H93" s="145">
        <v>1650</v>
      </c>
      <c r="I93" s="142" t="s">
        <v>290</v>
      </c>
      <c r="J93" s="142" t="s">
        <v>291</v>
      </c>
      <c r="K93" s="142" t="s">
        <v>290</v>
      </c>
      <c r="L93" s="371">
        <f>IF(PolicyData[[#This Row],[ClaimFiled_Last5Yrs]]="Y",1,0)</f>
        <v>0</v>
      </c>
      <c r="M93" s="371">
        <f>IF(PolicyData[[#This Row],[Region]]="EAST",1,0)</f>
        <v>0</v>
      </c>
    </row>
    <row r="94" spans="1:13" ht="16" x14ac:dyDescent="0.2">
      <c r="A94" s="142" t="s">
        <v>384</v>
      </c>
      <c r="B94" s="143">
        <v>46304</v>
      </c>
      <c r="C94" s="142" t="s">
        <v>293</v>
      </c>
      <c r="D94" s="142">
        <v>2023</v>
      </c>
      <c r="E94" s="142">
        <v>49</v>
      </c>
      <c r="F94" s="144" t="s">
        <v>281</v>
      </c>
      <c r="G94" s="142" t="s">
        <v>90</v>
      </c>
      <c r="H94" s="145">
        <v>1200</v>
      </c>
      <c r="I94" s="142" t="s">
        <v>291</v>
      </c>
      <c r="J94" s="142" t="s">
        <v>291</v>
      </c>
      <c r="K94" s="142" t="s">
        <v>290</v>
      </c>
      <c r="L94" s="371">
        <f>IF(PolicyData[[#This Row],[ClaimFiled_Last5Yrs]]="Y",1,0)</f>
        <v>1</v>
      </c>
      <c r="M94" s="371">
        <f>IF(PolicyData[[#This Row],[Region]]="EAST",1,0)</f>
        <v>0</v>
      </c>
    </row>
    <row r="95" spans="1:13" ht="16" x14ac:dyDescent="0.2">
      <c r="A95" s="142" t="s">
        <v>385</v>
      </c>
      <c r="B95" s="143">
        <v>46080</v>
      </c>
      <c r="C95" s="142" t="s">
        <v>295</v>
      </c>
      <c r="D95" s="142">
        <v>2026</v>
      </c>
      <c r="E95" s="142">
        <v>22</v>
      </c>
      <c r="F95" s="144" t="s">
        <v>283</v>
      </c>
      <c r="G95" s="142" t="s">
        <v>85</v>
      </c>
      <c r="H95" s="146">
        <v>2750</v>
      </c>
      <c r="I95" s="142" t="s">
        <v>290</v>
      </c>
      <c r="J95" s="142" t="s">
        <v>290</v>
      </c>
      <c r="K95" s="142" t="s">
        <v>291</v>
      </c>
      <c r="L95" s="371">
        <f>IF(PolicyData[[#This Row],[ClaimFiled_Last5Yrs]]="Y",1,0)</f>
        <v>0</v>
      </c>
      <c r="M95" s="371">
        <f>IF(PolicyData[[#This Row],[Region]]="EAST",1,0)</f>
        <v>1</v>
      </c>
    </row>
    <row r="96" spans="1:13" ht="16" x14ac:dyDescent="0.2">
      <c r="A96" s="142" t="s">
        <v>386</v>
      </c>
      <c r="B96" s="143">
        <v>46096</v>
      </c>
      <c r="C96" s="142" t="s">
        <v>296</v>
      </c>
      <c r="D96" s="142">
        <v>2019</v>
      </c>
      <c r="E96" s="142">
        <v>63</v>
      </c>
      <c r="F96" s="144" t="s">
        <v>294</v>
      </c>
      <c r="G96" s="142" t="s">
        <v>87</v>
      </c>
      <c r="H96" s="146">
        <v>940</v>
      </c>
      <c r="I96" s="142" t="s">
        <v>290</v>
      </c>
      <c r="J96" s="142" t="s">
        <v>291</v>
      </c>
      <c r="K96" s="142" t="s">
        <v>290</v>
      </c>
      <c r="L96" s="371">
        <f>IF(PolicyData[[#This Row],[ClaimFiled_Last5Yrs]]="Y",1,0)</f>
        <v>0</v>
      </c>
      <c r="M96" s="371">
        <f>IF(PolicyData[[#This Row],[Region]]="EAST",1,0)</f>
        <v>0</v>
      </c>
    </row>
    <row r="97" spans="1:13" ht="16" x14ac:dyDescent="0.2">
      <c r="A97" s="142" t="s">
        <v>387</v>
      </c>
      <c r="B97" s="143">
        <v>46143</v>
      </c>
      <c r="C97" s="142" t="s">
        <v>297</v>
      </c>
      <c r="D97" s="142">
        <v>2026</v>
      </c>
      <c r="E97" s="142">
        <v>35</v>
      </c>
      <c r="F97" s="144" t="s">
        <v>282</v>
      </c>
      <c r="G97" s="142" t="s">
        <v>85</v>
      </c>
      <c r="H97" s="145">
        <v>2000</v>
      </c>
      <c r="I97" s="142" t="s">
        <v>290</v>
      </c>
      <c r="J97" s="142" t="s">
        <v>291</v>
      </c>
      <c r="K97" s="142" t="s">
        <v>290</v>
      </c>
      <c r="L97" s="371">
        <f>IF(PolicyData[[#This Row],[ClaimFiled_Last5Yrs]]="Y",1,0)</f>
        <v>0</v>
      </c>
      <c r="M97" s="371">
        <f>IF(PolicyData[[#This Row],[Region]]="EAST",1,0)</f>
        <v>0</v>
      </c>
    </row>
    <row r="98" spans="1:13" ht="16" x14ac:dyDescent="0.2">
      <c r="A98" s="142" t="s">
        <v>388</v>
      </c>
      <c r="B98" s="143">
        <v>46164</v>
      </c>
      <c r="C98" s="142" t="s">
        <v>298</v>
      </c>
      <c r="D98" s="142">
        <v>2017</v>
      </c>
      <c r="E98" s="142">
        <v>77</v>
      </c>
      <c r="F98" s="144" t="s">
        <v>281</v>
      </c>
      <c r="G98" s="142" t="s">
        <v>87</v>
      </c>
      <c r="H98" s="146">
        <v>690</v>
      </c>
      <c r="I98" s="142" t="s">
        <v>290</v>
      </c>
      <c r="J98" s="142" t="s">
        <v>291</v>
      </c>
      <c r="K98" s="142" t="s">
        <v>290</v>
      </c>
      <c r="L98" s="371">
        <f>IF(PolicyData[[#This Row],[ClaimFiled_Last5Yrs]]="Y",1,0)</f>
        <v>0</v>
      </c>
      <c r="M98" s="371">
        <f>IF(PolicyData[[#This Row],[Region]]="EAST",1,0)</f>
        <v>0</v>
      </c>
    </row>
    <row r="99" spans="1:13" ht="16" x14ac:dyDescent="0.2">
      <c r="A99" s="142" t="s">
        <v>389</v>
      </c>
      <c r="B99" s="143">
        <v>46220</v>
      </c>
      <c r="C99" s="142" t="s">
        <v>299</v>
      </c>
      <c r="D99" s="142">
        <v>2026</v>
      </c>
      <c r="E99" s="142">
        <v>40</v>
      </c>
      <c r="F99" s="144" t="s">
        <v>283</v>
      </c>
      <c r="G99" s="142" t="s">
        <v>85</v>
      </c>
      <c r="H99" s="145">
        <v>1900</v>
      </c>
      <c r="I99" s="142" t="s">
        <v>291</v>
      </c>
      <c r="J99" s="142" t="s">
        <v>291</v>
      </c>
      <c r="K99" s="142" t="s">
        <v>290</v>
      </c>
      <c r="L99" s="371">
        <f>IF(PolicyData[[#This Row],[ClaimFiled_Last5Yrs]]="Y",1,0)</f>
        <v>1</v>
      </c>
      <c r="M99" s="371">
        <f>IF(PolicyData[[#This Row],[Region]]="EAST",1,0)</f>
        <v>1</v>
      </c>
    </row>
    <row r="100" spans="1:13" ht="16" x14ac:dyDescent="0.2">
      <c r="A100" s="142" t="s">
        <v>390</v>
      </c>
      <c r="B100" s="143">
        <v>46273</v>
      </c>
      <c r="C100" s="142" t="s">
        <v>300</v>
      </c>
      <c r="D100" s="142">
        <v>2022</v>
      </c>
      <c r="E100" s="142">
        <v>57</v>
      </c>
      <c r="F100" s="144" t="s">
        <v>294</v>
      </c>
      <c r="G100" s="142" t="s">
        <v>90</v>
      </c>
      <c r="H100" s="146">
        <v>1350</v>
      </c>
      <c r="I100" s="142" t="s">
        <v>290</v>
      </c>
      <c r="J100" s="142" t="s">
        <v>291</v>
      </c>
      <c r="K100" s="142" t="s">
        <v>290</v>
      </c>
      <c r="L100" s="371">
        <f>IF(PolicyData[[#This Row],[ClaimFiled_Last5Yrs]]="Y",1,0)</f>
        <v>0</v>
      </c>
      <c r="M100" s="371">
        <f>IF(PolicyData[[#This Row],[Region]]="EAST",1,0)</f>
        <v>0</v>
      </c>
    </row>
    <row r="101" spans="1:13" ht="16" x14ac:dyDescent="0.2">
      <c r="A101" s="142" t="s">
        <v>391</v>
      </c>
      <c r="B101" s="143">
        <v>46326</v>
      </c>
      <c r="C101" s="142" t="s">
        <v>301</v>
      </c>
      <c r="D101" s="142">
        <v>2026</v>
      </c>
      <c r="E101" s="142">
        <v>30</v>
      </c>
      <c r="F101" s="144" t="s">
        <v>282</v>
      </c>
      <c r="G101" s="142" t="s">
        <v>85</v>
      </c>
      <c r="H101" s="146">
        <v>2450</v>
      </c>
      <c r="I101" s="142" t="s">
        <v>291</v>
      </c>
      <c r="J101" s="142" t="s">
        <v>290</v>
      </c>
      <c r="K101" s="142" t="s">
        <v>290</v>
      </c>
      <c r="L101" s="371">
        <f>IF(PolicyData[[#This Row],[ClaimFiled_Last5Yrs]]="Y",1,0)</f>
        <v>1</v>
      </c>
      <c r="M101" s="371">
        <f>IF(PolicyData[[#This Row],[Region]]="EAST",1,0)</f>
        <v>0</v>
      </c>
    </row>
    <row r="102" spans="1:13" ht="16" x14ac:dyDescent="0.2">
      <c r="A102" s="142" t="s">
        <v>392</v>
      </c>
      <c r="B102" s="143">
        <v>46277</v>
      </c>
      <c r="C102" s="142" t="s">
        <v>289</v>
      </c>
      <c r="D102" s="142">
        <v>2024</v>
      </c>
      <c r="E102" s="142">
        <v>37</v>
      </c>
      <c r="F102" s="144" t="s">
        <v>281</v>
      </c>
      <c r="G102" s="142" t="s">
        <v>85</v>
      </c>
      <c r="H102" s="145">
        <v>1580</v>
      </c>
      <c r="I102" s="142" t="s">
        <v>290</v>
      </c>
      <c r="J102" s="142" t="s">
        <v>291</v>
      </c>
      <c r="K102" s="142" t="s">
        <v>290</v>
      </c>
      <c r="L102" s="371">
        <f>IF(PolicyData[[#This Row],[ClaimFiled_Last5Yrs]]="Y",1,0)</f>
        <v>0</v>
      </c>
      <c r="M102" s="371">
        <f>IF(PolicyData[[#This Row],[Region]]="EAST",1,0)</f>
        <v>0</v>
      </c>
    </row>
    <row r="103" spans="1:13" ht="16" x14ac:dyDescent="0.2">
      <c r="A103" s="142" t="s">
        <v>393</v>
      </c>
      <c r="B103" s="143">
        <v>46054</v>
      </c>
      <c r="C103" s="142" t="s">
        <v>292</v>
      </c>
      <c r="D103" s="142">
        <v>2020</v>
      </c>
      <c r="E103" s="142">
        <v>50</v>
      </c>
      <c r="F103" s="144" t="s">
        <v>283</v>
      </c>
      <c r="G103" s="142" t="s">
        <v>87</v>
      </c>
      <c r="H103" s="145">
        <v>830</v>
      </c>
      <c r="I103" s="142" t="s">
        <v>291</v>
      </c>
      <c r="J103" s="142" t="s">
        <v>291</v>
      </c>
      <c r="K103" s="142" t="s">
        <v>290</v>
      </c>
      <c r="L103" s="371">
        <f>IF(PolicyData[[#This Row],[ClaimFiled_Last5Yrs]]="Y",1,0)</f>
        <v>1</v>
      </c>
      <c r="M103" s="371">
        <f>IF(PolicyData[[#This Row],[Region]]="EAST",1,0)</f>
        <v>1</v>
      </c>
    </row>
    <row r="104" spans="1:13" ht="16" x14ac:dyDescent="0.2">
      <c r="A104" s="142" t="s">
        <v>394</v>
      </c>
      <c r="B104" s="143">
        <v>45981</v>
      </c>
      <c r="C104" s="142" t="s">
        <v>293</v>
      </c>
      <c r="D104" s="142">
        <v>2025</v>
      </c>
      <c r="E104" s="142">
        <v>23</v>
      </c>
      <c r="F104" s="144" t="s">
        <v>294</v>
      </c>
      <c r="G104" s="142" t="s">
        <v>85</v>
      </c>
      <c r="H104" s="146">
        <v>2550</v>
      </c>
      <c r="I104" s="142" t="s">
        <v>290</v>
      </c>
      <c r="J104" s="142" t="s">
        <v>290</v>
      </c>
      <c r="K104" s="142" t="s">
        <v>291</v>
      </c>
      <c r="L104" s="371">
        <f>IF(PolicyData[[#This Row],[ClaimFiled_Last5Yrs]]="Y",1,0)</f>
        <v>0</v>
      </c>
      <c r="M104" s="371">
        <f>IF(PolicyData[[#This Row],[Region]]="EAST",1,0)</f>
        <v>0</v>
      </c>
    </row>
    <row r="105" spans="1:13" ht="16" x14ac:dyDescent="0.2">
      <c r="A105" s="142" t="s">
        <v>395</v>
      </c>
      <c r="B105" s="143">
        <v>46068</v>
      </c>
      <c r="C105" s="142" t="s">
        <v>295</v>
      </c>
      <c r="D105" s="142">
        <v>2021</v>
      </c>
      <c r="E105" s="142">
        <v>60</v>
      </c>
      <c r="F105" s="144" t="s">
        <v>282</v>
      </c>
      <c r="G105" s="142" t="s">
        <v>90</v>
      </c>
      <c r="H105" s="146">
        <v>1010</v>
      </c>
      <c r="I105" s="142" t="s">
        <v>290</v>
      </c>
      <c r="J105" s="142" t="s">
        <v>291</v>
      </c>
      <c r="K105" s="142" t="s">
        <v>290</v>
      </c>
      <c r="L105" s="371">
        <f>IF(PolicyData[[#This Row],[ClaimFiled_Last5Yrs]]="Y",1,0)</f>
        <v>0</v>
      </c>
      <c r="M105" s="371">
        <f>IF(PolicyData[[#This Row],[Region]]="EAST",1,0)</f>
        <v>0</v>
      </c>
    </row>
    <row r="106" spans="1:13" ht="16" x14ac:dyDescent="0.2">
      <c r="A106" s="142" t="s">
        <v>396</v>
      </c>
      <c r="B106" s="143">
        <v>46106</v>
      </c>
      <c r="C106" s="142" t="s">
        <v>296</v>
      </c>
      <c r="D106" s="142">
        <v>2025</v>
      </c>
      <c r="E106" s="142">
        <v>43</v>
      </c>
      <c r="F106" s="144" t="s">
        <v>281</v>
      </c>
      <c r="G106" s="142" t="s">
        <v>85</v>
      </c>
      <c r="H106" s="145">
        <v>2050</v>
      </c>
      <c r="I106" s="142" t="s">
        <v>291</v>
      </c>
      <c r="J106" s="142" t="s">
        <v>291</v>
      </c>
      <c r="K106" s="142" t="s">
        <v>290</v>
      </c>
      <c r="L106" s="371">
        <f>IF(PolicyData[[#This Row],[ClaimFiled_Last5Yrs]]="Y",1,0)</f>
        <v>1</v>
      </c>
      <c r="M106" s="371">
        <f>IF(PolicyData[[#This Row],[Region]]="EAST",1,0)</f>
        <v>0</v>
      </c>
    </row>
    <row r="107" spans="1:13" ht="16" x14ac:dyDescent="0.2">
      <c r="A107" s="142" t="s">
        <v>397</v>
      </c>
      <c r="B107" s="143">
        <v>46130</v>
      </c>
      <c r="C107" s="142" t="s">
        <v>297</v>
      </c>
      <c r="D107" s="142">
        <v>2019</v>
      </c>
      <c r="E107" s="142">
        <v>64</v>
      </c>
      <c r="F107" s="144" t="s">
        <v>283</v>
      </c>
      <c r="G107" s="142" t="s">
        <v>87</v>
      </c>
      <c r="H107" s="145">
        <v>730</v>
      </c>
      <c r="I107" s="142" t="s">
        <v>290</v>
      </c>
      <c r="J107" s="142" t="s">
        <v>291</v>
      </c>
      <c r="K107" s="142" t="s">
        <v>290</v>
      </c>
      <c r="L107" s="371">
        <f>IF(PolicyData[[#This Row],[ClaimFiled_Last5Yrs]]="Y",1,0)</f>
        <v>0</v>
      </c>
      <c r="M107" s="371">
        <f>IF(PolicyData[[#This Row],[Region]]="EAST",1,0)</f>
        <v>1</v>
      </c>
    </row>
    <row r="108" spans="1:13" ht="16" x14ac:dyDescent="0.2">
      <c r="A108" s="142" t="s">
        <v>398</v>
      </c>
      <c r="B108" s="143">
        <v>46172</v>
      </c>
      <c r="C108" s="142" t="s">
        <v>298</v>
      </c>
      <c r="D108" s="142">
        <v>2026</v>
      </c>
      <c r="E108" s="142">
        <v>30</v>
      </c>
      <c r="F108" s="144" t="s">
        <v>282</v>
      </c>
      <c r="G108" s="142" t="s">
        <v>85</v>
      </c>
      <c r="H108" s="145">
        <v>2050</v>
      </c>
      <c r="I108" s="142" t="s">
        <v>290</v>
      </c>
      <c r="J108" s="142" t="s">
        <v>290</v>
      </c>
      <c r="K108" s="142" t="s">
        <v>290</v>
      </c>
      <c r="L108" s="371">
        <f>IF(PolicyData[[#This Row],[ClaimFiled_Last5Yrs]]="Y",1,0)</f>
        <v>0</v>
      </c>
      <c r="M108" s="371">
        <f>IF(PolicyData[[#This Row],[Region]]="EAST",1,0)</f>
        <v>0</v>
      </c>
    </row>
    <row r="109" spans="1:13" ht="16" x14ac:dyDescent="0.2">
      <c r="A109" s="142" t="s">
        <v>399</v>
      </c>
      <c r="B109" s="143">
        <v>46187</v>
      </c>
      <c r="C109" s="142" t="s">
        <v>299</v>
      </c>
      <c r="D109" s="142">
        <v>2025</v>
      </c>
      <c r="E109" s="142">
        <v>51</v>
      </c>
      <c r="F109" s="144" t="s">
        <v>294</v>
      </c>
      <c r="G109" s="142" t="s">
        <v>85</v>
      </c>
      <c r="H109" s="145">
        <v>1700</v>
      </c>
      <c r="I109" s="142" t="s">
        <v>290</v>
      </c>
      <c r="J109" s="142" t="s">
        <v>291</v>
      </c>
      <c r="K109" s="142" t="s">
        <v>290</v>
      </c>
      <c r="L109" s="371">
        <f>IF(PolicyData[[#This Row],[ClaimFiled_Last5Yrs]]="Y",1,0)</f>
        <v>0</v>
      </c>
      <c r="M109" s="371">
        <f>IF(PolicyData[[#This Row],[Region]]="EAST",1,0)</f>
        <v>0</v>
      </c>
    </row>
    <row r="110" spans="1:13" ht="16" x14ac:dyDescent="0.2">
      <c r="A110" s="142" t="s">
        <v>400</v>
      </c>
      <c r="B110" s="143">
        <v>46231</v>
      </c>
      <c r="C110" s="142" t="s">
        <v>300</v>
      </c>
      <c r="D110" s="142">
        <v>2020</v>
      </c>
      <c r="E110" s="142">
        <v>39</v>
      </c>
      <c r="F110" s="144" t="s">
        <v>281</v>
      </c>
      <c r="G110" s="142" t="s">
        <v>87</v>
      </c>
      <c r="H110" s="145">
        <v>900</v>
      </c>
      <c r="I110" s="142" t="s">
        <v>291</v>
      </c>
      <c r="J110" s="142" t="s">
        <v>291</v>
      </c>
      <c r="K110" s="142" t="s">
        <v>291</v>
      </c>
      <c r="L110" s="371">
        <f>IF(PolicyData[[#This Row],[ClaimFiled_Last5Yrs]]="Y",1,0)</f>
        <v>1</v>
      </c>
      <c r="M110" s="371">
        <f>IF(PolicyData[[#This Row],[Region]]="EAST",1,0)</f>
        <v>0</v>
      </c>
    </row>
    <row r="111" spans="1:13" ht="16" x14ac:dyDescent="0.2">
      <c r="A111" s="142" t="s">
        <v>401</v>
      </c>
      <c r="B111" s="143">
        <v>46239</v>
      </c>
      <c r="C111" s="142" t="s">
        <v>301</v>
      </c>
      <c r="D111" s="142">
        <v>2026</v>
      </c>
      <c r="E111" s="142">
        <v>26</v>
      </c>
      <c r="F111" s="144" t="s">
        <v>283</v>
      </c>
      <c r="G111" s="142" t="s">
        <v>85</v>
      </c>
      <c r="H111" s="145">
        <v>2400</v>
      </c>
      <c r="I111" s="142" t="s">
        <v>290</v>
      </c>
      <c r="J111" s="142" t="s">
        <v>291</v>
      </c>
      <c r="K111" s="142" t="s">
        <v>290</v>
      </c>
      <c r="L111" s="371">
        <f>IF(PolicyData[[#This Row],[ClaimFiled_Last5Yrs]]="Y",1,0)</f>
        <v>0</v>
      </c>
      <c r="M111" s="371">
        <f>IF(PolicyData[[#This Row],[Region]]="EAST",1,0)</f>
        <v>1</v>
      </c>
    </row>
    <row r="112" spans="1:13" ht="16" x14ac:dyDescent="0.2">
      <c r="A112" s="142" t="s">
        <v>402</v>
      </c>
      <c r="B112" s="143">
        <v>46282</v>
      </c>
      <c r="C112" s="142" t="s">
        <v>289</v>
      </c>
      <c r="D112" s="142">
        <v>2017</v>
      </c>
      <c r="E112" s="142">
        <v>70</v>
      </c>
      <c r="F112" s="144" t="s">
        <v>294</v>
      </c>
      <c r="G112" s="142" t="s">
        <v>87</v>
      </c>
      <c r="H112" s="146">
        <v>610</v>
      </c>
      <c r="I112" s="142" t="s">
        <v>290</v>
      </c>
      <c r="J112" s="142" t="s">
        <v>291</v>
      </c>
      <c r="K112" s="142" t="s">
        <v>290</v>
      </c>
      <c r="L112" s="371">
        <f>IF(PolicyData[[#This Row],[ClaimFiled_Last5Yrs]]="Y",1,0)</f>
        <v>0</v>
      </c>
      <c r="M112" s="371">
        <f>IF(PolicyData[[#This Row],[Region]]="EAST",1,0)</f>
        <v>0</v>
      </c>
    </row>
    <row r="113" spans="1:13" ht="16" x14ac:dyDescent="0.2">
      <c r="A113" s="142" t="s">
        <v>403</v>
      </c>
      <c r="B113" s="143">
        <v>46324</v>
      </c>
      <c r="C113" s="142" t="s">
        <v>292</v>
      </c>
      <c r="D113" s="142">
        <v>2025</v>
      </c>
      <c r="E113" s="142">
        <v>33</v>
      </c>
      <c r="F113" s="144" t="s">
        <v>282</v>
      </c>
      <c r="G113" s="142" t="s">
        <v>85</v>
      </c>
      <c r="H113" s="146">
        <v>1580</v>
      </c>
      <c r="I113" s="142" t="s">
        <v>290</v>
      </c>
      <c r="J113" s="142" t="s">
        <v>291</v>
      </c>
      <c r="K113" s="142" t="s">
        <v>290</v>
      </c>
      <c r="L113" s="371">
        <f>IF(PolicyData[[#This Row],[ClaimFiled_Last5Yrs]]="Y",1,0)</f>
        <v>0</v>
      </c>
      <c r="M113" s="371">
        <f>IF(PolicyData[[#This Row],[Region]]="EAST",1,0)</f>
        <v>0</v>
      </c>
    </row>
    <row r="114" spans="1:13" ht="16" x14ac:dyDescent="0.2">
      <c r="A114" s="142" t="s">
        <v>404</v>
      </c>
      <c r="B114" s="143">
        <v>45965</v>
      </c>
      <c r="C114" s="142" t="s">
        <v>293</v>
      </c>
      <c r="D114" s="142">
        <v>2021</v>
      </c>
      <c r="E114" s="142">
        <v>46</v>
      </c>
      <c r="F114" s="144" t="s">
        <v>281</v>
      </c>
      <c r="G114" s="142" t="s">
        <v>90</v>
      </c>
      <c r="H114" s="145">
        <v>1130</v>
      </c>
      <c r="I114" s="142" t="s">
        <v>291</v>
      </c>
      <c r="J114" s="142" t="s">
        <v>291</v>
      </c>
      <c r="K114" s="142" t="s">
        <v>290</v>
      </c>
      <c r="L114" s="371">
        <f>IF(PolicyData[[#This Row],[ClaimFiled_Last5Yrs]]="Y",1,0)</f>
        <v>1</v>
      </c>
      <c r="M114" s="371">
        <f>IF(PolicyData[[#This Row],[Region]]="EAST",1,0)</f>
        <v>0</v>
      </c>
    </row>
    <row r="115" spans="1:13" ht="16" x14ac:dyDescent="0.2">
      <c r="A115" s="142" t="s">
        <v>405</v>
      </c>
      <c r="B115" s="143">
        <v>46072</v>
      </c>
      <c r="C115" s="142" t="s">
        <v>295</v>
      </c>
      <c r="D115" s="142">
        <v>2026</v>
      </c>
      <c r="E115" s="142">
        <v>20</v>
      </c>
      <c r="F115" s="144" t="s">
        <v>283</v>
      </c>
      <c r="G115" s="142" t="s">
        <v>85</v>
      </c>
      <c r="H115" s="145">
        <v>2800</v>
      </c>
      <c r="I115" s="142" t="s">
        <v>290</v>
      </c>
      <c r="J115" s="142" t="s">
        <v>290</v>
      </c>
      <c r="K115" s="142" t="s">
        <v>291</v>
      </c>
      <c r="L115" s="371">
        <f>IF(PolicyData[[#This Row],[ClaimFiled_Last5Yrs]]="Y",1,0)</f>
        <v>0</v>
      </c>
      <c r="M115" s="371">
        <f>IF(PolicyData[[#This Row],[Region]]="EAST",1,0)</f>
        <v>1</v>
      </c>
    </row>
    <row r="116" spans="1:13" ht="16" x14ac:dyDescent="0.2">
      <c r="A116" s="142" t="s">
        <v>406</v>
      </c>
      <c r="B116" s="143">
        <v>46089</v>
      </c>
      <c r="C116" s="142" t="s">
        <v>296</v>
      </c>
      <c r="D116" s="142">
        <v>2018</v>
      </c>
      <c r="E116" s="142">
        <v>59</v>
      </c>
      <c r="F116" s="144" t="s">
        <v>294</v>
      </c>
      <c r="G116" s="142" t="s">
        <v>87</v>
      </c>
      <c r="H116" s="146">
        <v>1010</v>
      </c>
      <c r="I116" s="142" t="s">
        <v>290</v>
      </c>
      <c r="J116" s="142" t="s">
        <v>291</v>
      </c>
      <c r="K116" s="142" t="s">
        <v>290</v>
      </c>
      <c r="L116" s="371">
        <f>IF(PolicyData[[#This Row],[ClaimFiled_Last5Yrs]]="Y",1,0)</f>
        <v>0</v>
      </c>
      <c r="M116" s="371">
        <f>IF(PolicyData[[#This Row],[Region]]="EAST",1,0)</f>
        <v>0</v>
      </c>
    </row>
    <row r="117" spans="1:13" ht="16" x14ac:dyDescent="0.2">
      <c r="A117" s="142" t="s">
        <v>407</v>
      </c>
      <c r="B117" s="143">
        <v>46135</v>
      </c>
      <c r="C117" s="142" t="s">
        <v>297</v>
      </c>
      <c r="D117" s="142">
        <v>2025</v>
      </c>
      <c r="E117" s="142">
        <v>31</v>
      </c>
      <c r="F117" s="144" t="s">
        <v>282</v>
      </c>
      <c r="G117" s="142" t="s">
        <v>85</v>
      </c>
      <c r="H117" s="145">
        <v>1950</v>
      </c>
      <c r="I117" s="142" t="s">
        <v>290</v>
      </c>
      <c r="J117" s="142" t="s">
        <v>291</v>
      </c>
      <c r="K117" s="142" t="s">
        <v>290</v>
      </c>
      <c r="L117" s="371">
        <f>IF(PolicyData[[#This Row],[ClaimFiled_Last5Yrs]]="Y",1,0)</f>
        <v>0</v>
      </c>
      <c r="M117" s="371">
        <f>IF(PolicyData[[#This Row],[Region]]="EAST",1,0)</f>
        <v>0</v>
      </c>
    </row>
    <row r="118" spans="1:13" ht="16" x14ac:dyDescent="0.2">
      <c r="A118" s="142" t="s">
        <v>408</v>
      </c>
      <c r="B118" s="143">
        <v>46153</v>
      </c>
      <c r="C118" s="142" t="s">
        <v>298</v>
      </c>
      <c r="D118" s="142">
        <v>2019</v>
      </c>
      <c r="E118" s="142">
        <v>75</v>
      </c>
      <c r="F118" s="144" t="s">
        <v>281</v>
      </c>
      <c r="G118" s="142" t="s">
        <v>87</v>
      </c>
      <c r="H118" s="145">
        <v>680</v>
      </c>
      <c r="I118" s="142" t="s">
        <v>290</v>
      </c>
      <c r="J118" s="142" t="s">
        <v>291</v>
      </c>
      <c r="K118" s="142" t="s">
        <v>290</v>
      </c>
      <c r="L118" s="371">
        <f>IF(PolicyData[[#This Row],[ClaimFiled_Last5Yrs]]="Y",1,0)</f>
        <v>0</v>
      </c>
      <c r="M118" s="371">
        <f>IF(PolicyData[[#This Row],[Region]]="EAST",1,0)</f>
        <v>0</v>
      </c>
    </row>
    <row r="119" spans="1:13" ht="16" x14ac:dyDescent="0.2">
      <c r="A119" s="142" t="s">
        <v>409</v>
      </c>
      <c r="B119" s="143">
        <v>46223</v>
      </c>
      <c r="C119" s="142" t="s">
        <v>299</v>
      </c>
      <c r="D119" s="142">
        <v>2026</v>
      </c>
      <c r="E119" s="142">
        <v>36</v>
      </c>
      <c r="F119" s="144" t="s">
        <v>283</v>
      </c>
      <c r="G119" s="142" t="s">
        <v>85</v>
      </c>
      <c r="H119" s="145">
        <v>1850</v>
      </c>
      <c r="I119" s="142" t="s">
        <v>291</v>
      </c>
      <c r="J119" s="142" t="s">
        <v>291</v>
      </c>
      <c r="K119" s="142" t="s">
        <v>290</v>
      </c>
      <c r="L119" s="371">
        <f>IF(PolicyData[[#This Row],[ClaimFiled_Last5Yrs]]="Y",1,0)</f>
        <v>1</v>
      </c>
      <c r="M119" s="371">
        <f>IF(PolicyData[[#This Row],[Region]]="EAST",1,0)</f>
        <v>1</v>
      </c>
    </row>
    <row r="120" spans="1:13" ht="16" x14ac:dyDescent="0.2">
      <c r="A120" s="142" t="s">
        <v>410</v>
      </c>
      <c r="B120" s="143">
        <v>46148</v>
      </c>
      <c r="C120" s="142" t="s">
        <v>300</v>
      </c>
      <c r="D120" s="142">
        <v>2021</v>
      </c>
      <c r="E120" s="142">
        <v>54</v>
      </c>
      <c r="F120" s="144" t="s">
        <v>294</v>
      </c>
      <c r="G120" s="142" t="s">
        <v>90</v>
      </c>
      <c r="H120" s="146">
        <v>1300</v>
      </c>
      <c r="I120" s="142" t="s">
        <v>290</v>
      </c>
      <c r="J120" s="142" t="s">
        <v>291</v>
      </c>
      <c r="K120" s="142" t="s">
        <v>290</v>
      </c>
      <c r="L120" s="371">
        <f>IF(PolicyData[[#This Row],[ClaimFiled_Last5Yrs]]="Y",1,0)</f>
        <v>0</v>
      </c>
      <c r="M120" s="371">
        <f>IF(PolicyData[[#This Row],[Region]]="EAST",1,0)</f>
        <v>0</v>
      </c>
    </row>
    <row r="121" spans="1:13" ht="16" x14ac:dyDescent="0.2">
      <c r="A121" s="142" t="s">
        <v>411</v>
      </c>
      <c r="B121" s="143">
        <v>46201</v>
      </c>
      <c r="C121" s="142" t="s">
        <v>301</v>
      </c>
      <c r="D121" s="142">
        <v>2025</v>
      </c>
      <c r="E121" s="142">
        <v>27</v>
      </c>
      <c r="F121" s="144" t="s">
        <v>282</v>
      </c>
      <c r="G121" s="142" t="s">
        <v>85</v>
      </c>
      <c r="H121" s="145">
        <v>2350</v>
      </c>
      <c r="I121" s="142" t="s">
        <v>291</v>
      </c>
      <c r="J121" s="142" t="s">
        <v>290</v>
      </c>
      <c r="K121" s="142" t="s">
        <v>290</v>
      </c>
      <c r="L121" s="371">
        <f>IF(PolicyData[[#This Row],[ClaimFiled_Last5Yrs]]="Y",1,0)</f>
        <v>1</v>
      </c>
      <c r="M121" s="371">
        <f>IF(PolicyData[[#This Row],[Region]]="EAST",1,0)</f>
        <v>0</v>
      </c>
    </row>
    <row r="122" spans="1:13" ht="16" x14ac:dyDescent="0.2">
      <c r="A122" s="142" t="s">
        <v>412</v>
      </c>
      <c r="B122" s="143">
        <v>46218</v>
      </c>
      <c r="C122" s="142" t="s">
        <v>289</v>
      </c>
      <c r="D122" s="142">
        <v>2026</v>
      </c>
      <c r="E122" s="142">
        <v>40</v>
      </c>
      <c r="F122" s="144" t="s">
        <v>281</v>
      </c>
      <c r="G122" s="142" t="s">
        <v>85</v>
      </c>
      <c r="H122" s="146">
        <v>1550</v>
      </c>
      <c r="I122" s="142" t="s">
        <v>290</v>
      </c>
      <c r="J122" s="142" t="s">
        <v>291</v>
      </c>
      <c r="K122" s="142" t="s">
        <v>290</v>
      </c>
      <c r="L122" s="371">
        <f>IF(PolicyData[[#This Row],[ClaimFiled_Last5Yrs]]="Y",1,0)</f>
        <v>0</v>
      </c>
      <c r="M122" s="371">
        <f>IF(PolicyData[[#This Row],[Region]]="EAST",1,0)</f>
        <v>0</v>
      </c>
    </row>
    <row r="123" spans="1:13" ht="16" x14ac:dyDescent="0.2">
      <c r="A123" s="142" t="s">
        <v>413</v>
      </c>
      <c r="B123" s="143">
        <v>45992</v>
      </c>
      <c r="C123" s="142" t="s">
        <v>292</v>
      </c>
      <c r="D123" s="142">
        <v>2018</v>
      </c>
      <c r="E123" s="142">
        <v>52</v>
      </c>
      <c r="F123" s="144" t="s">
        <v>283</v>
      </c>
      <c r="G123" s="142" t="s">
        <v>87</v>
      </c>
      <c r="H123" s="145">
        <v>810</v>
      </c>
      <c r="I123" s="142" t="s">
        <v>290</v>
      </c>
      <c r="J123" s="142" t="s">
        <v>291</v>
      </c>
      <c r="K123" s="142" t="s">
        <v>291</v>
      </c>
      <c r="L123" s="371">
        <f>IF(PolicyData[[#This Row],[ClaimFiled_Last5Yrs]]="Y",1,0)</f>
        <v>0</v>
      </c>
      <c r="M123" s="371">
        <f>IF(PolicyData[[#This Row],[Region]]="EAST",1,0)</f>
        <v>1</v>
      </c>
    </row>
    <row r="124" spans="1:13" ht="16" x14ac:dyDescent="0.2">
      <c r="A124" s="142" t="s">
        <v>414</v>
      </c>
      <c r="B124" s="143">
        <v>46092</v>
      </c>
      <c r="C124" s="142" t="s">
        <v>293</v>
      </c>
      <c r="D124" s="142">
        <v>2026</v>
      </c>
      <c r="E124" s="142">
        <v>24</v>
      </c>
      <c r="F124" s="144" t="s">
        <v>294</v>
      </c>
      <c r="G124" s="142" t="s">
        <v>85</v>
      </c>
      <c r="H124" s="145">
        <v>2600</v>
      </c>
      <c r="I124" s="142" t="s">
        <v>291</v>
      </c>
      <c r="J124" s="142" t="s">
        <v>290</v>
      </c>
      <c r="K124" s="142" t="s">
        <v>290</v>
      </c>
      <c r="L124" s="371">
        <f>IF(PolicyData[[#This Row],[ClaimFiled_Last5Yrs]]="Y",1,0)</f>
        <v>1</v>
      </c>
      <c r="M124" s="371">
        <f>IF(PolicyData[[#This Row],[Region]]="EAST",1,0)</f>
        <v>0</v>
      </c>
    </row>
    <row r="125" spans="1:13" ht="16" x14ac:dyDescent="0.2">
      <c r="A125" s="142" t="s">
        <v>415</v>
      </c>
      <c r="B125" s="143">
        <v>46135</v>
      </c>
      <c r="C125" s="142" t="s">
        <v>295</v>
      </c>
      <c r="D125" s="142">
        <v>2022</v>
      </c>
      <c r="E125" s="142">
        <v>57</v>
      </c>
      <c r="F125" s="144" t="s">
        <v>282</v>
      </c>
      <c r="G125" s="142" t="s">
        <v>90</v>
      </c>
      <c r="H125" s="145">
        <v>1060</v>
      </c>
      <c r="I125" s="142" t="s">
        <v>290</v>
      </c>
      <c r="J125" s="142" t="s">
        <v>291</v>
      </c>
      <c r="K125" s="142" t="s">
        <v>290</v>
      </c>
      <c r="L125" s="371">
        <f>IF(PolicyData[[#This Row],[ClaimFiled_Last5Yrs]]="Y",1,0)</f>
        <v>0</v>
      </c>
      <c r="M125" s="371">
        <f>IF(PolicyData[[#This Row],[Region]]="EAST",1,0)</f>
        <v>0</v>
      </c>
    </row>
    <row r="126" spans="1:13" ht="16" x14ac:dyDescent="0.2">
      <c r="A126" s="142" t="s">
        <v>416</v>
      </c>
      <c r="B126" s="143">
        <v>46151</v>
      </c>
      <c r="C126" s="142" t="s">
        <v>296</v>
      </c>
      <c r="D126" s="142">
        <v>2024</v>
      </c>
      <c r="E126" s="142">
        <v>44</v>
      </c>
      <c r="F126" s="144" t="s">
        <v>281</v>
      </c>
      <c r="G126" s="142" t="s">
        <v>85</v>
      </c>
      <c r="H126" s="146">
        <v>2100</v>
      </c>
      <c r="I126" s="142" t="s">
        <v>290</v>
      </c>
      <c r="J126" s="142" t="s">
        <v>291</v>
      </c>
      <c r="K126" s="142" t="s">
        <v>290</v>
      </c>
      <c r="L126" s="371">
        <f>IF(PolicyData[[#This Row],[ClaimFiled_Last5Yrs]]="Y",1,0)</f>
        <v>0</v>
      </c>
      <c r="M126" s="371">
        <f>IF(PolicyData[[#This Row],[Region]]="EAST",1,0)</f>
        <v>0</v>
      </c>
    </row>
    <row r="127" spans="1:13" ht="16" x14ac:dyDescent="0.2">
      <c r="A127" s="142" t="s">
        <v>417</v>
      </c>
      <c r="B127" s="143">
        <v>46234</v>
      </c>
      <c r="C127" s="142" t="s">
        <v>297</v>
      </c>
      <c r="D127" s="142">
        <v>2017</v>
      </c>
      <c r="E127" s="142">
        <v>66</v>
      </c>
      <c r="F127" s="144" t="s">
        <v>283</v>
      </c>
      <c r="G127" s="142" t="s">
        <v>87</v>
      </c>
      <c r="H127" s="146">
        <v>700</v>
      </c>
      <c r="I127" s="142" t="s">
        <v>290</v>
      </c>
      <c r="J127" s="142" t="s">
        <v>291</v>
      </c>
      <c r="K127" s="142" t="s">
        <v>290</v>
      </c>
      <c r="L127" s="371">
        <f>IF(PolicyData[[#This Row],[ClaimFiled_Last5Yrs]]="Y",1,0)</f>
        <v>0</v>
      </c>
      <c r="M127" s="371">
        <f>IF(PolicyData[[#This Row],[Region]]="EAST",1,0)</f>
        <v>1</v>
      </c>
    </row>
    <row r="128" spans="1:13" ht="16" x14ac:dyDescent="0.2">
      <c r="A128" s="142" t="s">
        <v>418</v>
      </c>
      <c r="B128" s="143">
        <v>46270</v>
      </c>
      <c r="C128" s="142" t="s">
        <v>298</v>
      </c>
      <c r="D128" s="142">
        <v>2026</v>
      </c>
      <c r="E128" s="142">
        <v>29</v>
      </c>
      <c r="F128" s="144" t="s">
        <v>282</v>
      </c>
      <c r="G128" s="142" t="s">
        <v>85</v>
      </c>
      <c r="H128" s="146">
        <v>2100</v>
      </c>
      <c r="I128" s="142" t="s">
        <v>291</v>
      </c>
      <c r="J128" s="142" t="s">
        <v>290</v>
      </c>
      <c r="K128" s="142" t="s">
        <v>290</v>
      </c>
      <c r="L128" s="371">
        <f>IF(PolicyData[[#This Row],[ClaimFiled_Last5Yrs]]="Y",1,0)</f>
        <v>1</v>
      </c>
      <c r="M128" s="371">
        <f>IF(PolicyData[[#This Row],[Region]]="EAST",1,0)</f>
        <v>0</v>
      </c>
    </row>
    <row r="129" spans="1:13" ht="16" x14ac:dyDescent="0.2">
      <c r="A129" s="142" t="s">
        <v>419</v>
      </c>
      <c r="B129" s="143">
        <v>46071</v>
      </c>
      <c r="C129" s="142" t="s">
        <v>299</v>
      </c>
      <c r="D129" s="142">
        <v>2025</v>
      </c>
      <c r="E129" s="142">
        <v>53</v>
      </c>
      <c r="F129" s="144" t="s">
        <v>294</v>
      </c>
      <c r="G129" s="142" t="s">
        <v>85</v>
      </c>
      <c r="H129" s="145">
        <v>1750</v>
      </c>
      <c r="I129" s="142" t="s">
        <v>290</v>
      </c>
      <c r="J129" s="142" t="s">
        <v>291</v>
      </c>
      <c r="K129" s="142" t="s">
        <v>290</v>
      </c>
      <c r="L129" s="371">
        <f>IF(PolicyData[[#This Row],[ClaimFiled_Last5Yrs]]="Y",1,0)</f>
        <v>0</v>
      </c>
      <c r="M129" s="371">
        <f>IF(PolicyData[[#This Row],[Region]]="EAST",1,0)</f>
        <v>0</v>
      </c>
    </row>
    <row r="130" spans="1:13" ht="16" x14ac:dyDescent="0.2">
      <c r="A130" s="142" t="s">
        <v>420</v>
      </c>
      <c r="B130" s="143">
        <v>46091</v>
      </c>
      <c r="C130" s="142" t="s">
        <v>300</v>
      </c>
      <c r="D130" s="142">
        <v>2019</v>
      </c>
      <c r="E130" s="142">
        <v>41</v>
      </c>
      <c r="F130" s="144" t="s">
        <v>281</v>
      </c>
      <c r="G130" s="142" t="s">
        <v>87</v>
      </c>
      <c r="H130" s="145">
        <v>840</v>
      </c>
      <c r="I130" s="142" t="s">
        <v>290</v>
      </c>
      <c r="J130" s="142" t="s">
        <v>291</v>
      </c>
      <c r="K130" s="142" t="s">
        <v>290</v>
      </c>
      <c r="L130" s="371">
        <f>IF(PolicyData[[#This Row],[ClaimFiled_Last5Yrs]]="Y",1,0)</f>
        <v>0</v>
      </c>
      <c r="M130" s="371">
        <f>IF(PolicyData[[#This Row],[Region]]="EAST",1,0)</f>
        <v>0</v>
      </c>
    </row>
    <row r="131" spans="1:13" ht="16" x14ac:dyDescent="0.2">
      <c r="A131" s="142" t="s">
        <v>421</v>
      </c>
      <c r="B131" s="143">
        <v>46137</v>
      </c>
      <c r="C131" s="142" t="s">
        <v>301</v>
      </c>
      <c r="D131" s="142">
        <v>2026</v>
      </c>
      <c r="E131" s="142">
        <v>25</v>
      </c>
      <c r="F131" s="144" t="s">
        <v>283</v>
      </c>
      <c r="G131" s="142" t="s">
        <v>85</v>
      </c>
      <c r="H131" s="146">
        <v>2450</v>
      </c>
      <c r="I131" s="142" t="s">
        <v>291</v>
      </c>
      <c r="J131" s="142" t="s">
        <v>291</v>
      </c>
      <c r="K131" s="142" t="s">
        <v>291</v>
      </c>
      <c r="L131" s="371">
        <f>IF(PolicyData[[#This Row],[ClaimFiled_Last5Yrs]]="Y",1,0)</f>
        <v>1</v>
      </c>
      <c r="M131" s="371">
        <f>IF(PolicyData[[#This Row],[Region]]="EAST",1,0)</f>
        <v>1</v>
      </c>
    </row>
    <row r="132" spans="1:13" ht="16" x14ac:dyDescent="0.2">
      <c r="A132" s="142" t="s">
        <v>422</v>
      </c>
      <c r="B132" s="143">
        <v>46159</v>
      </c>
      <c r="C132" s="142" t="s">
        <v>289</v>
      </c>
      <c r="D132" s="142">
        <v>2016</v>
      </c>
      <c r="E132" s="142">
        <v>71</v>
      </c>
      <c r="F132" s="144" t="s">
        <v>294</v>
      </c>
      <c r="G132" s="142" t="s">
        <v>87</v>
      </c>
      <c r="H132" s="145">
        <v>590</v>
      </c>
      <c r="I132" s="142" t="s">
        <v>290</v>
      </c>
      <c r="J132" s="142" t="s">
        <v>291</v>
      </c>
      <c r="K132" s="142" t="s">
        <v>290</v>
      </c>
      <c r="L132" s="371">
        <f>IF(PolicyData[[#This Row],[ClaimFiled_Last5Yrs]]="Y",1,0)</f>
        <v>0</v>
      </c>
      <c r="M132" s="371">
        <f>IF(PolicyData[[#This Row],[Region]]="EAST",1,0)</f>
        <v>0</v>
      </c>
    </row>
    <row r="133" spans="1:13" ht="16" x14ac:dyDescent="0.2">
      <c r="A133" s="142" t="s">
        <v>423</v>
      </c>
      <c r="B133" s="143">
        <v>46175</v>
      </c>
      <c r="C133" s="142" t="s">
        <v>292</v>
      </c>
      <c r="D133" s="142">
        <v>2026</v>
      </c>
      <c r="E133" s="142">
        <v>34</v>
      </c>
      <c r="F133" s="144" t="s">
        <v>282</v>
      </c>
      <c r="G133" s="142" t="s">
        <v>85</v>
      </c>
      <c r="H133" s="145">
        <v>1630</v>
      </c>
      <c r="I133" s="142" t="s">
        <v>290</v>
      </c>
      <c r="J133" s="142" t="s">
        <v>291</v>
      </c>
      <c r="K133" s="142" t="s">
        <v>290</v>
      </c>
      <c r="L133" s="371">
        <f>IF(PolicyData[[#This Row],[ClaimFiled_Last5Yrs]]="Y",1,0)</f>
        <v>0</v>
      </c>
      <c r="M133" s="371">
        <f>IF(PolicyData[[#This Row],[Region]]="EAST",1,0)</f>
        <v>0</v>
      </c>
    </row>
    <row r="134" spans="1:13" ht="16" x14ac:dyDescent="0.2">
      <c r="A134" s="142" t="s">
        <v>424</v>
      </c>
      <c r="B134" s="143">
        <v>46217</v>
      </c>
      <c r="C134" s="142" t="s">
        <v>293</v>
      </c>
      <c r="D134" s="142">
        <v>2025</v>
      </c>
      <c r="E134" s="142">
        <v>47</v>
      </c>
      <c r="F134" s="144" t="s">
        <v>281</v>
      </c>
      <c r="G134" s="142" t="s">
        <v>90</v>
      </c>
      <c r="H134" s="146">
        <v>1180</v>
      </c>
      <c r="I134" s="142" t="s">
        <v>291</v>
      </c>
      <c r="J134" s="142" t="s">
        <v>291</v>
      </c>
      <c r="K134" s="142" t="s">
        <v>290</v>
      </c>
      <c r="L134" s="371">
        <f>IF(PolicyData[[#This Row],[ClaimFiled_Last5Yrs]]="Y",1,0)</f>
        <v>1</v>
      </c>
      <c r="M134" s="371">
        <f>IF(PolicyData[[#This Row],[Region]]="EAST",1,0)</f>
        <v>0</v>
      </c>
    </row>
    <row r="135" spans="1:13" ht="16" x14ac:dyDescent="0.2">
      <c r="A135" s="142" t="s">
        <v>425</v>
      </c>
      <c r="B135" s="143">
        <v>46263</v>
      </c>
      <c r="C135" s="142" t="s">
        <v>295</v>
      </c>
      <c r="D135" s="142">
        <v>2026</v>
      </c>
      <c r="E135" s="142">
        <v>21</v>
      </c>
      <c r="F135" s="144" t="s">
        <v>283</v>
      </c>
      <c r="G135" s="142" t="s">
        <v>85</v>
      </c>
      <c r="H135" s="146">
        <v>2850</v>
      </c>
      <c r="I135" s="142" t="s">
        <v>290</v>
      </c>
      <c r="J135" s="142" t="s">
        <v>290</v>
      </c>
      <c r="K135" s="142" t="s">
        <v>291</v>
      </c>
      <c r="L135" s="371">
        <f>IF(PolicyData[[#This Row],[ClaimFiled_Last5Yrs]]="Y",1,0)</f>
        <v>0</v>
      </c>
      <c r="M135" s="371">
        <f>IF(PolicyData[[#This Row],[Region]]="EAST",1,0)</f>
        <v>1</v>
      </c>
    </row>
    <row r="136" spans="1:13" ht="16" x14ac:dyDescent="0.2">
      <c r="A136" s="142" t="s">
        <v>426</v>
      </c>
      <c r="B136" s="143">
        <v>46277</v>
      </c>
      <c r="C136" s="142" t="s">
        <v>296</v>
      </c>
      <c r="D136" s="142">
        <v>2019</v>
      </c>
      <c r="E136" s="142">
        <v>60</v>
      </c>
      <c r="F136" s="144" t="s">
        <v>294</v>
      </c>
      <c r="G136" s="142" t="s">
        <v>87</v>
      </c>
      <c r="H136" s="146">
        <v>1040</v>
      </c>
      <c r="I136" s="142" t="s">
        <v>290</v>
      </c>
      <c r="J136" s="142" t="s">
        <v>291</v>
      </c>
      <c r="K136" s="142" t="s">
        <v>290</v>
      </c>
      <c r="L136" s="371">
        <f>IF(PolicyData[[#This Row],[ClaimFiled_Last5Yrs]]="Y",1,0)</f>
        <v>0</v>
      </c>
      <c r="M136" s="371">
        <f>IF(PolicyData[[#This Row],[Region]]="EAST",1,0)</f>
        <v>0</v>
      </c>
    </row>
    <row r="137" spans="1:13" ht="16" x14ac:dyDescent="0.2">
      <c r="A137" s="142" t="s">
        <v>427</v>
      </c>
      <c r="B137" s="143">
        <v>46321</v>
      </c>
      <c r="C137" s="142" t="s">
        <v>297</v>
      </c>
      <c r="D137" s="142">
        <v>2026</v>
      </c>
      <c r="E137" s="142">
        <v>32</v>
      </c>
      <c r="F137" s="144" t="s">
        <v>282</v>
      </c>
      <c r="G137" s="142" t="s">
        <v>85</v>
      </c>
      <c r="H137" s="146">
        <v>2000</v>
      </c>
      <c r="I137" s="142" t="s">
        <v>290</v>
      </c>
      <c r="J137" s="142" t="s">
        <v>291</v>
      </c>
      <c r="K137" s="142" t="s">
        <v>290</v>
      </c>
      <c r="L137" s="371">
        <f>IF(PolicyData[[#This Row],[ClaimFiled_Last5Yrs]]="Y",1,0)</f>
        <v>0</v>
      </c>
      <c r="M137" s="371">
        <f>IF(PolicyData[[#This Row],[Region]]="EAST",1,0)</f>
        <v>0</v>
      </c>
    </row>
    <row r="138" spans="1:13" ht="16" x14ac:dyDescent="0.2">
      <c r="A138" s="142" t="s">
        <v>428</v>
      </c>
      <c r="B138" s="143">
        <v>45966</v>
      </c>
      <c r="C138" s="142" t="s">
        <v>298</v>
      </c>
      <c r="D138" s="142">
        <v>2020</v>
      </c>
      <c r="E138" s="142">
        <v>78</v>
      </c>
      <c r="F138" s="144" t="s">
        <v>281</v>
      </c>
      <c r="G138" s="142" t="s">
        <v>87</v>
      </c>
      <c r="H138" s="146">
        <v>710</v>
      </c>
      <c r="I138" s="142" t="s">
        <v>290</v>
      </c>
      <c r="J138" s="142" t="s">
        <v>291</v>
      </c>
      <c r="K138" s="142" t="s">
        <v>290</v>
      </c>
      <c r="L138" s="371">
        <f>IF(PolicyData[[#This Row],[ClaimFiled_Last5Yrs]]="Y",1,0)</f>
        <v>0</v>
      </c>
      <c r="M138" s="371">
        <f>IF(PolicyData[[#This Row],[Region]]="EAST",1,0)</f>
        <v>0</v>
      </c>
    </row>
    <row r="139" spans="1:13" ht="16" x14ac:dyDescent="0.2">
      <c r="A139" s="142" t="s">
        <v>429</v>
      </c>
      <c r="B139" s="143">
        <v>46071</v>
      </c>
      <c r="C139" s="142" t="s">
        <v>299</v>
      </c>
      <c r="D139" s="142">
        <v>2026</v>
      </c>
      <c r="E139" s="142">
        <v>37</v>
      </c>
      <c r="F139" s="144" t="s">
        <v>283</v>
      </c>
      <c r="G139" s="142" t="s">
        <v>85</v>
      </c>
      <c r="H139" s="146">
        <v>1900</v>
      </c>
      <c r="I139" s="142" t="s">
        <v>291</v>
      </c>
      <c r="J139" s="142" t="s">
        <v>291</v>
      </c>
      <c r="K139" s="142" t="s">
        <v>290</v>
      </c>
      <c r="L139" s="371">
        <f>IF(PolicyData[[#This Row],[ClaimFiled_Last5Yrs]]="Y",1,0)</f>
        <v>1</v>
      </c>
      <c r="M139" s="371">
        <f>IF(PolicyData[[#This Row],[Region]]="EAST",1,0)</f>
        <v>1</v>
      </c>
    </row>
    <row r="140" spans="1:13" ht="16" x14ac:dyDescent="0.2">
      <c r="A140" s="142" t="s">
        <v>430</v>
      </c>
      <c r="B140" s="143">
        <v>46084</v>
      </c>
      <c r="C140" s="142" t="s">
        <v>300</v>
      </c>
      <c r="D140" s="142">
        <v>2022</v>
      </c>
      <c r="E140" s="142">
        <v>55</v>
      </c>
      <c r="F140" s="144" t="s">
        <v>294</v>
      </c>
      <c r="G140" s="142" t="s">
        <v>90</v>
      </c>
      <c r="H140" s="146">
        <v>1350</v>
      </c>
      <c r="I140" s="142" t="s">
        <v>290</v>
      </c>
      <c r="J140" s="142" t="s">
        <v>291</v>
      </c>
      <c r="K140" s="142" t="s">
        <v>290</v>
      </c>
      <c r="L140" s="371">
        <f>IF(PolicyData[[#This Row],[ClaimFiled_Last5Yrs]]="Y",1,0)</f>
        <v>0</v>
      </c>
      <c r="M140" s="371">
        <f>IF(PolicyData[[#This Row],[Region]]="EAST",1,0)</f>
        <v>0</v>
      </c>
    </row>
    <row r="141" spans="1:13" ht="16" x14ac:dyDescent="0.2">
      <c r="A141" s="142" t="s">
        <v>431</v>
      </c>
      <c r="B141" s="143">
        <v>46133</v>
      </c>
      <c r="C141" s="142" t="s">
        <v>301</v>
      </c>
      <c r="D141" s="142">
        <v>2025</v>
      </c>
      <c r="E141" s="142">
        <v>28</v>
      </c>
      <c r="F141" s="144" t="s">
        <v>282</v>
      </c>
      <c r="G141" s="142" t="s">
        <v>85</v>
      </c>
      <c r="H141" s="145">
        <v>2400</v>
      </c>
      <c r="I141" s="142" t="s">
        <v>291</v>
      </c>
      <c r="J141" s="142" t="s">
        <v>290</v>
      </c>
      <c r="K141" s="142" t="s">
        <v>290</v>
      </c>
      <c r="L141" s="371">
        <f>IF(PolicyData[[#This Row],[ClaimFiled_Last5Yrs]]="Y",1,0)</f>
        <v>1</v>
      </c>
      <c r="M141" s="371">
        <f>IF(PolicyData[[#This Row],[Region]]="EAST",1,0)</f>
        <v>0</v>
      </c>
    </row>
    <row r="142" spans="1:13" ht="16" x14ac:dyDescent="0.2">
      <c r="A142" s="142" t="s">
        <v>432</v>
      </c>
      <c r="B142" s="143">
        <v>46157</v>
      </c>
      <c r="C142" s="142" t="s">
        <v>289</v>
      </c>
      <c r="D142" s="142">
        <v>2026</v>
      </c>
      <c r="E142" s="142">
        <v>42</v>
      </c>
      <c r="F142" s="144" t="s">
        <v>281</v>
      </c>
      <c r="G142" s="142" t="s">
        <v>85</v>
      </c>
      <c r="H142" s="145">
        <v>1630</v>
      </c>
      <c r="I142" s="142" t="s">
        <v>290</v>
      </c>
      <c r="J142" s="142" t="s">
        <v>291</v>
      </c>
      <c r="K142" s="142" t="s">
        <v>290</v>
      </c>
      <c r="L142" s="371">
        <f>IF(PolicyData[[#This Row],[ClaimFiled_Last5Yrs]]="Y",1,0)</f>
        <v>0</v>
      </c>
      <c r="M142" s="371">
        <f>IF(PolicyData[[#This Row],[Region]]="EAST",1,0)</f>
        <v>0</v>
      </c>
    </row>
    <row r="143" spans="1:13" ht="16" x14ac:dyDescent="0.2">
      <c r="A143" s="142" t="s">
        <v>433</v>
      </c>
      <c r="B143" s="143">
        <v>46204</v>
      </c>
      <c r="C143" s="142" t="s">
        <v>292</v>
      </c>
      <c r="D143" s="142">
        <v>2019</v>
      </c>
      <c r="E143" s="142">
        <v>54</v>
      </c>
      <c r="F143" s="144" t="s">
        <v>283</v>
      </c>
      <c r="G143" s="142" t="s">
        <v>87</v>
      </c>
      <c r="H143" s="146">
        <v>850</v>
      </c>
      <c r="I143" s="142" t="s">
        <v>291</v>
      </c>
      <c r="J143" s="142" t="s">
        <v>291</v>
      </c>
      <c r="K143" s="142" t="s">
        <v>290</v>
      </c>
      <c r="L143" s="371">
        <f>IF(PolicyData[[#This Row],[ClaimFiled_Last5Yrs]]="Y",1,0)</f>
        <v>1</v>
      </c>
      <c r="M143" s="371">
        <f>IF(PolicyData[[#This Row],[Region]]="EAST",1,0)</f>
        <v>1</v>
      </c>
    </row>
    <row r="144" spans="1:13" ht="16" x14ac:dyDescent="0.2">
      <c r="A144" s="142" t="s">
        <v>434</v>
      </c>
      <c r="B144" s="143">
        <v>46252</v>
      </c>
      <c r="C144" s="142" t="s">
        <v>293</v>
      </c>
      <c r="D144" s="142">
        <v>2026</v>
      </c>
      <c r="E144" s="142">
        <v>25</v>
      </c>
      <c r="F144" s="144" t="s">
        <v>294</v>
      </c>
      <c r="G144" s="142" t="s">
        <v>85</v>
      </c>
      <c r="H144" s="146">
        <v>2650</v>
      </c>
      <c r="I144" s="142" t="s">
        <v>290</v>
      </c>
      <c r="J144" s="142" t="s">
        <v>290</v>
      </c>
      <c r="K144" s="142" t="s">
        <v>291</v>
      </c>
      <c r="L144" s="371">
        <f>IF(PolicyData[[#This Row],[ClaimFiled_Last5Yrs]]="Y",1,0)</f>
        <v>0</v>
      </c>
      <c r="M144" s="371">
        <f>IF(PolicyData[[#This Row],[Region]]="EAST",1,0)</f>
        <v>0</v>
      </c>
    </row>
    <row r="145" spans="1:13" ht="16" x14ac:dyDescent="0.2">
      <c r="A145" s="142" t="s">
        <v>435</v>
      </c>
      <c r="B145" s="143">
        <v>46277</v>
      </c>
      <c r="C145" s="142" t="s">
        <v>295</v>
      </c>
      <c r="D145" s="142">
        <v>2023</v>
      </c>
      <c r="E145" s="142">
        <v>61</v>
      </c>
      <c r="F145" s="144" t="s">
        <v>282</v>
      </c>
      <c r="G145" s="142" t="s">
        <v>90</v>
      </c>
      <c r="H145" s="145">
        <v>1030</v>
      </c>
      <c r="I145" s="142" t="s">
        <v>290</v>
      </c>
      <c r="J145" s="142" t="s">
        <v>291</v>
      </c>
      <c r="K145" s="142" t="s">
        <v>290</v>
      </c>
      <c r="L145" s="371">
        <f>IF(PolicyData[[#This Row],[ClaimFiled_Last5Yrs]]="Y",1,0)</f>
        <v>0</v>
      </c>
      <c r="M145" s="371">
        <f>IF(PolicyData[[#This Row],[Region]]="EAST",1,0)</f>
        <v>0</v>
      </c>
    </row>
    <row r="146" spans="1:13" ht="16" x14ac:dyDescent="0.2">
      <c r="A146" s="142" t="s">
        <v>436</v>
      </c>
      <c r="B146" s="143">
        <v>46223</v>
      </c>
      <c r="C146" s="142" t="s">
        <v>296</v>
      </c>
      <c r="D146" s="142">
        <v>2025</v>
      </c>
      <c r="E146" s="142">
        <v>45</v>
      </c>
      <c r="F146" s="144" t="s">
        <v>281</v>
      </c>
      <c r="G146" s="142" t="s">
        <v>85</v>
      </c>
      <c r="H146" s="145">
        <v>2150</v>
      </c>
      <c r="I146" s="142" t="s">
        <v>291</v>
      </c>
      <c r="J146" s="142" t="s">
        <v>291</v>
      </c>
      <c r="K146" s="142" t="s">
        <v>290</v>
      </c>
      <c r="L146" s="371">
        <f>IF(PolicyData[[#This Row],[ClaimFiled_Last5Yrs]]="Y",1,0)</f>
        <v>1</v>
      </c>
      <c r="M146" s="371">
        <f>IF(PolicyData[[#This Row],[Region]]="EAST",1,0)</f>
        <v>0</v>
      </c>
    </row>
    <row r="147" spans="1:13" ht="16" x14ac:dyDescent="0.2">
      <c r="A147" s="142" t="s">
        <v>437</v>
      </c>
      <c r="B147" s="143">
        <v>45965</v>
      </c>
      <c r="C147" s="142" t="s">
        <v>297</v>
      </c>
      <c r="D147" s="142">
        <v>2018</v>
      </c>
      <c r="E147" s="142">
        <v>67</v>
      </c>
      <c r="F147" s="144" t="s">
        <v>283</v>
      </c>
      <c r="G147" s="142" t="s">
        <v>87</v>
      </c>
      <c r="H147" s="145">
        <v>750</v>
      </c>
      <c r="I147" s="142" t="s">
        <v>290</v>
      </c>
      <c r="J147" s="142" t="s">
        <v>291</v>
      </c>
      <c r="K147" s="142" t="s">
        <v>290</v>
      </c>
      <c r="L147" s="371">
        <f>IF(PolicyData[[#This Row],[ClaimFiled_Last5Yrs]]="Y",1,0)</f>
        <v>0</v>
      </c>
      <c r="M147" s="371">
        <f>IF(PolicyData[[#This Row],[Region]]="EAST",1,0)</f>
        <v>1</v>
      </c>
    </row>
    <row r="148" spans="1:13" ht="16" x14ac:dyDescent="0.2">
      <c r="A148" s="142" t="s">
        <v>438</v>
      </c>
      <c r="B148" s="143">
        <v>46074</v>
      </c>
      <c r="C148" s="142" t="s">
        <v>298</v>
      </c>
      <c r="D148" s="142">
        <v>2026</v>
      </c>
      <c r="E148" s="142">
        <v>31</v>
      </c>
      <c r="F148" s="144" t="s">
        <v>282</v>
      </c>
      <c r="G148" s="142" t="s">
        <v>85</v>
      </c>
      <c r="H148" s="145">
        <v>2150</v>
      </c>
      <c r="I148" s="142" t="s">
        <v>290</v>
      </c>
      <c r="J148" s="142" t="s">
        <v>290</v>
      </c>
      <c r="K148" s="142" t="s">
        <v>290</v>
      </c>
      <c r="L148" s="371">
        <f>IF(PolicyData[[#This Row],[ClaimFiled_Last5Yrs]]="Y",1,0)</f>
        <v>0</v>
      </c>
      <c r="M148" s="371">
        <f>IF(PolicyData[[#This Row],[Region]]="EAST",1,0)</f>
        <v>0</v>
      </c>
    </row>
    <row r="149" spans="1:13" ht="16" x14ac:dyDescent="0.2">
      <c r="A149" s="142" t="s">
        <v>439</v>
      </c>
      <c r="B149" s="143">
        <v>46091</v>
      </c>
      <c r="C149" s="142" t="s">
        <v>299</v>
      </c>
      <c r="D149" s="142">
        <v>2026</v>
      </c>
      <c r="E149" s="142">
        <v>56</v>
      </c>
      <c r="F149" s="144" t="s">
        <v>294</v>
      </c>
      <c r="G149" s="142" t="s">
        <v>85</v>
      </c>
      <c r="H149" s="145">
        <v>1800</v>
      </c>
      <c r="I149" s="142" t="s">
        <v>290</v>
      </c>
      <c r="J149" s="142" t="s">
        <v>291</v>
      </c>
      <c r="K149" s="142" t="s">
        <v>290</v>
      </c>
      <c r="L149" s="371">
        <f>IF(PolicyData[[#This Row],[ClaimFiled_Last5Yrs]]="Y",1,0)</f>
        <v>0</v>
      </c>
      <c r="M149" s="371">
        <f>IF(PolicyData[[#This Row],[Region]]="EAST",1,0)</f>
        <v>0</v>
      </c>
    </row>
    <row r="150" spans="1:13" ht="16" x14ac:dyDescent="0.2">
      <c r="A150" s="142" t="s">
        <v>440</v>
      </c>
      <c r="B150" s="143">
        <v>46135</v>
      </c>
      <c r="C150" s="142" t="s">
        <v>300</v>
      </c>
      <c r="D150" s="142">
        <v>2021</v>
      </c>
      <c r="E150" s="142">
        <v>43</v>
      </c>
      <c r="F150" s="144" t="s">
        <v>281</v>
      </c>
      <c r="G150" s="142" t="s">
        <v>87</v>
      </c>
      <c r="H150" s="145">
        <v>870</v>
      </c>
      <c r="I150" s="142" t="s">
        <v>291</v>
      </c>
      <c r="J150" s="142" t="s">
        <v>291</v>
      </c>
      <c r="K150" s="142" t="s">
        <v>291</v>
      </c>
      <c r="L150" s="371">
        <f>IF(PolicyData[[#This Row],[ClaimFiled_Last5Yrs]]="Y",1,0)</f>
        <v>1</v>
      </c>
      <c r="M150" s="371">
        <f>IF(PolicyData[[#This Row],[Region]]="EAST",1,0)</f>
        <v>0</v>
      </c>
    </row>
    <row r="151" spans="1:13" ht="16" x14ac:dyDescent="0.2">
      <c r="A151" s="142" t="s">
        <v>441</v>
      </c>
      <c r="B151" s="143">
        <v>46149</v>
      </c>
      <c r="C151" s="142" t="s">
        <v>301</v>
      </c>
      <c r="D151" s="142">
        <v>2026</v>
      </c>
      <c r="E151" s="142">
        <v>27</v>
      </c>
      <c r="F151" s="144" t="s">
        <v>283</v>
      </c>
      <c r="G151" s="142" t="s">
        <v>85</v>
      </c>
      <c r="H151" s="146">
        <v>2500</v>
      </c>
      <c r="I151" s="142" t="s">
        <v>290</v>
      </c>
      <c r="J151" s="142" t="s">
        <v>291</v>
      </c>
      <c r="K151" s="142" t="s">
        <v>290</v>
      </c>
      <c r="L151" s="371">
        <f>IF(PolicyData[[#This Row],[ClaimFiled_Last5Yrs]]="Y",1,0)</f>
        <v>0</v>
      </c>
      <c r="M151" s="371">
        <f>IF(PolicyData[[#This Row],[Region]]="EAST",1,0)</f>
        <v>1</v>
      </c>
    </row>
    <row r="152" spans="1:13" ht="16" x14ac:dyDescent="0.2">
      <c r="A152" s="142" t="s">
        <v>442</v>
      </c>
      <c r="B152" s="143">
        <v>46192</v>
      </c>
      <c r="C152" s="142" t="s">
        <v>289</v>
      </c>
      <c r="D152" s="142">
        <v>2018</v>
      </c>
      <c r="E152" s="142">
        <v>73</v>
      </c>
      <c r="F152" s="144" t="s">
        <v>294</v>
      </c>
      <c r="G152" s="142" t="s">
        <v>87</v>
      </c>
      <c r="H152" s="145">
        <v>640</v>
      </c>
      <c r="I152" s="142" t="s">
        <v>290</v>
      </c>
      <c r="J152" s="142" t="s">
        <v>291</v>
      </c>
      <c r="K152" s="142" t="s">
        <v>290</v>
      </c>
      <c r="L152" s="371">
        <f>IF(PolicyData[[#This Row],[ClaimFiled_Last5Yrs]]="Y",1,0)</f>
        <v>0</v>
      </c>
      <c r="M152" s="371">
        <f>IF(PolicyData[[#This Row],[Region]]="EAST",1,0)</f>
        <v>0</v>
      </c>
    </row>
    <row r="153" spans="1:13" ht="16" x14ac:dyDescent="0.2">
      <c r="A153" s="142" t="s">
        <v>443</v>
      </c>
      <c r="B153" s="143">
        <v>46262</v>
      </c>
      <c r="C153" s="142" t="s">
        <v>292</v>
      </c>
      <c r="D153" s="142">
        <v>2026</v>
      </c>
      <c r="E153" s="142">
        <v>35</v>
      </c>
      <c r="F153" s="144" t="s">
        <v>282</v>
      </c>
      <c r="G153" s="142" t="s">
        <v>85</v>
      </c>
      <c r="H153" s="146">
        <v>1680</v>
      </c>
      <c r="I153" s="142" t="s">
        <v>290</v>
      </c>
      <c r="J153" s="142" t="s">
        <v>291</v>
      </c>
      <c r="K153" s="142" t="s">
        <v>290</v>
      </c>
      <c r="L153" s="371">
        <f>IF(PolicyData[[#This Row],[ClaimFiled_Last5Yrs]]="Y",1,0)</f>
        <v>0</v>
      </c>
      <c r="M153" s="371">
        <f>IF(PolicyData[[#This Row],[Region]]="EAST",1,0)</f>
        <v>0</v>
      </c>
    </row>
    <row r="154" spans="1:13" ht="16" x14ac:dyDescent="0.2">
      <c r="A154" s="142" t="s">
        <v>444</v>
      </c>
      <c r="B154" s="143">
        <v>46282</v>
      </c>
      <c r="C154" s="142" t="s">
        <v>293</v>
      </c>
      <c r="D154" s="142">
        <v>2025</v>
      </c>
      <c r="E154" s="142">
        <v>48</v>
      </c>
      <c r="F154" s="144" t="s">
        <v>281</v>
      </c>
      <c r="G154" s="142" t="s">
        <v>90</v>
      </c>
      <c r="H154" s="146">
        <v>1230</v>
      </c>
      <c r="I154" s="142" t="s">
        <v>291</v>
      </c>
      <c r="J154" s="142" t="s">
        <v>291</v>
      </c>
      <c r="K154" s="142" t="s">
        <v>290</v>
      </c>
      <c r="L154" s="371">
        <f>IF(PolicyData[[#This Row],[ClaimFiled_Last5Yrs]]="Y",1,0)</f>
        <v>1</v>
      </c>
      <c r="M154" s="371">
        <f>IF(PolicyData[[#This Row],[Region]]="EAST",1,0)</f>
        <v>0</v>
      </c>
    </row>
    <row r="155" spans="1:13" ht="16" x14ac:dyDescent="0.2">
      <c r="A155" s="142" t="s">
        <v>445</v>
      </c>
      <c r="B155" s="143">
        <v>46315</v>
      </c>
      <c r="C155" s="142" t="s">
        <v>295</v>
      </c>
      <c r="D155" s="142">
        <v>2026</v>
      </c>
      <c r="E155" s="142">
        <v>23</v>
      </c>
      <c r="F155" s="144" t="s">
        <v>283</v>
      </c>
      <c r="G155" s="142" t="s">
        <v>85</v>
      </c>
      <c r="H155" s="145">
        <v>2900</v>
      </c>
      <c r="I155" s="142" t="s">
        <v>290</v>
      </c>
      <c r="J155" s="142" t="s">
        <v>290</v>
      </c>
      <c r="K155" s="142" t="s">
        <v>291</v>
      </c>
      <c r="L155" s="371">
        <f>IF(PolicyData[[#This Row],[ClaimFiled_Last5Yrs]]="Y",1,0)</f>
        <v>0</v>
      </c>
      <c r="M155" s="371">
        <f>IF(PolicyData[[#This Row],[Region]]="EAST",1,0)</f>
        <v>1</v>
      </c>
    </row>
    <row r="156" spans="1:13" ht="16" x14ac:dyDescent="0.2">
      <c r="A156" s="142" t="s">
        <v>446</v>
      </c>
      <c r="B156" s="143">
        <v>45970</v>
      </c>
      <c r="C156" s="142" t="s">
        <v>296</v>
      </c>
      <c r="D156" s="142">
        <v>2020</v>
      </c>
      <c r="E156" s="142">
        <v>62</v>
      </c>
      <c r="F156" s="144" t="s">
        <v>294</v>
      </c>
      <c r="G156" s="142" t="s">
        <v>87</v>
      </c>
      <c r="H156" s="146">
        <v>1080</v>
      </c>
      <c r="I156" s="142" t="s">
        <v>290</v>
      </c>
      <c r="J156" s="142" t="s">
        <v>291</v>
      </c>
      <c r="K156" s="142" t="s">
        <v>290</v>
      </c>
      <c r="L156" s="371">
        <f>IF(PolicyData[[#This Row],[ClaimFiled_Last5Yrs]]="Y",1,0)</f>
        <v>0</v>
      </c>
      <c r="M156" s="371">
        <f>IF(PolicyData[[#This Row],[Region]]="EAST",1,0)</f>
        <v>0</v>
      </c>
    </row>
    <row r="157" spans="1:13" ht="16" x14ac:dyDescent="0.2">
      <c r="A157" s="142" t="s">
        <v>447</v>
      </c>
      <c r="B157" s="143">
        <v>46047</v>
      </c>
      <c r="C157" s="142" t="s">
        <v>297</v>
      </c>
      <c r="D157" s="142">
        <v>2026</v>
      </c>
      <c r="E157" s="142">
        <v>33</v>
      </c>
      <c r="F157" s="144" t="s">
        <v>282</v>
      </c>
      <c r="G157" s="142" t="s">
        <v>85</v>
      </c>
      <c r="H157" s="146">
        <v>2050</v>
      </c>
      <c r="I157" s="142" t="s">
        <v>290</v>
      </c>
      <c r="J157" s="142" t="s">
        <v>291</v>
      </c>
      <c r="K157" s="142" t="s">
        <v>290</v>
      </c>
      <c r="L157" s="371">
        <f>IF(PolicyData[[#This Row],[ClaimFiled_Last5Yrs]]="Y",1,0)</f>
        <v>0</v>
      </c>
      <c r="M157" s="371">
        <f>IF(PolicyData[[#This Row],[Region]]="EAST",1,0)</f>
        <v>0</v>
      </c>
    </row>
    <row r="158" spans="1:13" ht="16" x14ac:dyDescent="0.2">
      <c r="A158" s="142" t="s">
        <v>448</v>
      </c>
      <c r="B158" s="143">
        <v>46065</v>
      </c>
      <c r="C158" s="142" t="s">
        <v>298</v>
      </c>
      <c r="D158" s="142">
        <v>2021</v>
      </c>
      <c r="E158" s="142">
        <v>79</v>
      </c>
      <c r="F158" s="144" t="s">
        <v>281</v>
      </c>
      <c r="G158" s="142" t="s">
        <v>87</v>
      </c>
      <c r="H158" s="145">
        <v>740</v>
      </c>
      <c r="I158" s="142" t="s">
        <v>290</v>
      </c>
      <c r="J158" s="142" t="s">
        <v>291</v>
      </c>
      <c r="K158" s="142" t="s">
        <v>290</v>
      </c>
      <c r="L158" s="371">
        <f>IF(PolicyData[[#This Row],[ClaimFiled_Last5Yrs]]="Y",1,0)</f>
        <v>0</v>
      </c>
      <c r="M158" s="371">
        <f>IF(PolicyData[[#This Row],[Region]]="EAST",1,0)</f>
        <v>0</v>
      </c>
    </row>
    <row r="159" spans="1:13" ht="16" x14ac:dyDescent="0.2">
      <c r="A159" s="142" t="s">
        <v>449</v>
      </c>
      <c r="B159" s="143">
        <v>46082</v>
      </c>
      <c r="C159" s="142" t="s">
        <v>299</v>
      </c>
      <c r="D159" s="142">
        <v>2026</v>
      </c>
      <c r="E159" s="142">
        <v>38</v>
      </c>
      <c r="F159" s="144" t="s">
        <v>283</v>
      </c>
      <c r="G159" s="142" t="s">
        <v>85</v>
      </c>
      <c r="H159" s="146">
        <v>1950</v>
      </c>
      <c r="I159" s="142" t="s">
        <v>291</v>
      </c>
      <c r="J159" s="142" t="s">
        <v>291</v>
      </c>
      <c r="K159" s="142" t="s">
        <v>290</v>
      </c>
      <c r="L159" s="371">
        <f>IF(PolicyData[[#This Row],[ClaimFiled_Last5Yrs]]="Y",1,0)</f>
        <v>1</v>
      </c>
      <c r="M159" s="371">
        <f>IF(PolicyData[[#This Row],[Region]]="EAST",1,0)</f>
        <v>1</v>
      </c>
    </row>
    <row r="160" spans="1:13" ht="16" x14ac:dyDescent="0.2">
      <c r="A160" s="142" t="s">
        <v>450</v>
      </c>
      <c r="B160" s="143">
        <v>46126</v>
      </c>
      <c r="C160" s="142" t="s">
        <v>300</v>
      </c>
      <c r="D160" s="142">
        <v>2023</v>
      </c>
      <c r="E160" s="142">
        <v>57</v>
      </c>
      <c r="F160" s="144" t="s">
        <v>294</v>
      </c>
      <c r="G160" s="142" t="s">
        <v>90</v>
      </c>
      <c r="H160" s="146">
        <v>1400</v>
      </c>
      <c r="I160" s="142" t="s">
        <v>290</v>
      </c>
      <c r="J160" s="142" t="s">
        <v>291</v>
      </c>
      <c r="K160" s="142" t="s">
        <v>290</v>
      </c>
      <c r="L160" s="371">
        <f>IF(PolicyData[[#This Row],[ClaimFiled_Last5Yrs]]="Y",1,0)</f>
        <v>0</v>
      </c>
      <c r="M160" s="371">
        <f>IF(PolicyData[[#This Row],[Region]]="EAST",1,0)</f>
        <v>0</v>
      </c>
    </row>
    <row r="161" spans="1:13" ht="16" x14ac:dyDescent="0.2">
      <c r="A161" s="142" t="s">
        <v>451</v>
      </c>
      <c r="B161" s="143">
        <v>46169</v>
      </c>
      <c r="C161" s="142" t="s">
        <v>301</v>
      </c>
      <c r="D161" s="142">
        <v>2025</v>
      </c>
      <c r="E161" s="142">
        <v>29</v>
      </c>
      <c r="F161" s="144" t="s">
        <v>282</v>
      </c>
      <c r="G161" s="142" t="s">
        <v>85</v>
      </c>
      <c r="H161" s="145">
        <v>2450</v>
      </c>
      <c r="I161" s="142" t="s">
        <v>291</v>
      </c>
      <c r="J161" s="142" t="s">
        <v>290</v>
      </c>
      <c r="K161" s="142" t="s">
        <v>290</v>
      </c>
      <c r="L161" s="371">
        <f>IF(PolicyData[[#This Row],[ClaimFiled_Last5Yrs]]="Y",1,0)</f>
        <v>1</v>
      </c>
      <c r="M161" s="371">
        <f>IF(PolicyData[[#This Row],[Region]]="EAST",1,0)</f>
        <v>0</v>
      </c>
    </row>
    <row r="162" spans="1:13" ht="16" x14ac:dyDescent="0.2">
      <c r="A162" s="142" t="s">
        <v>452</v>
      </c>
      <c r="B162" s="143">
        <v>46189</v>
      </c>
      <c r="C162" s="142" t="s">
        <v>289</v>
      </c>
      <c r="D162" s="142">
        <v>2026</v>
      </c>
      <c r="E162" s="142">
        <v>44</v>
      </c>
      <c r="F162" s="144" t="s">
        <v>281</v>
      </c>
      <c r="G162" s="142" t="s">
        <v>85</v>
      </c>
      <c r="H162" s="146">
        <v>1730</v>
      </c>
      <c r="I162" s="142" t="s">
        <v>290</v>
      </c>
      <c r="J162" s="142" t="s">
        <v>291</v>
      </c>
      <c r="K162" s="142" t="s">
        <v>290</v>
      </c>
      <c r="L162" s="371">
        <f>IF(PolicyData[[#This Row],[ClaimFiled_Last5Yrs]]="Y",1,0)</f>
        <v>0</v>
      </c>
      <c r="M162" s="371">
        <f>IF(PolicyData[[#This Row],[Region]]="EAST",1,0)</f>
        <v>0</v>
      </c>
    </row>
    <row r="163" spans="1:13" ht="16" x14ac:dyDescent="0.2">
      <c r="A163" s="142" t="s">
        <v>453</v>
      </c>
      <c r="B163" s="143">
        <v>46208</v>
      </c>
      <c r="C163" s="142" t="s">
        <v>292</v>
      </c>
      <c r="D163" s="142">
        <v>2020</v>
      </c>
      <c r="E163" s="142">
        <v>55</v>
      </c>
      <c r="F163" s="144" t="s">
        <v>283</v>
      </c>
      <c r="G163" s="142" t="s">
        <v>87</v>
      </c>
      <c r="H163" s="145">
        <v>870</v>
      </c>
      <c r="I163" s="142" t="s">
        <v>290</v>
      </c>
      <c r="J163" s="142" t="s">
        <v>291</v>
      </c>
      <c r="K163" s="142" t="s">
        <v>291</v>
      </c>
      <c r="L163" s="371">
        <f>IF(PolicyData[[#This Row],[ClaimFiled_Last5Yrs]]="Y",1,0)</f>
        <v>0</v>
      </c>
      <c r="M163" s="371">
        <f>IF(PolicyData[[#This Row],[Region]]="EAST",1,0)</f>
        <v>1</v>
      </c>
    </row>
    <row r="164" spans="1:13" ht="16" x14ac:dyDescent="0.2">
      <c r="A164" s="142" t="s">
        <v>454</v>
      </c>
      <c r="B164" s="143">
        <v>46256</v>
      </c>
      <c r="C164" s="142" t="s">
        <v>293</v>
      </c>
      <c r="D164" s="142">
        <v>2026</v>
      </c>
      <c r="E164" s="142">
        <v>26</v>
      </c>
      <c r="F164" s="144" t="s">
        <v>294</v>
      </c>
      <c r="G164" s="142" t="s">
        <v>85</v>
      </c>
      <c r="H164" s="146">
        <v>2700</v>
      </c>
      <c r="I164" s="142" t="s">
        <v>291</v>
      </c>
      <c r="J164" s="142" t="s">
        <v>290</v>
      </c>
      <c r="K164" s="142" t="s">
        <v>290</v>
      </c>
      <c r="L164" s="371">
        <f>IF(PolicyData[[#This Row],[ClaimFiled_Last5Yrs]]="Y",1,0)</f>
        <v>1</v>
      </c>
      <c r="M164" s="371">
        <f>IF(PolicyData[[#This Row],[Region]]="EAST",1,0)</f>
        <v>0</v>
      </c>
    </row>
    <row r="165" spans="1:13" ht="16" x14ac:dyDescent="0.2">
      <c r="A165" s="142" t="s">
        <v>455</v>
      </c>
      <c r="B165" s="143">
        <v>46282</v>
      </c>
      <c r="C165" s="142" t="s">
        <v>295</v>
      </c>
      <c r="D165" s="142">
        <v>2024</v>
      </c>
      <c r="E165" s="142">
        <v>63</v>
      </c>
      <c r="F165" s="144" t="s">
        <v>282</v>
      </c>
      <c r="G165" s="142" t="s">
        <v>90</v>
      </c>
      <c r="H165" s="146">
        <v>1050</v>
      </c>
      <c r="I165" s="142" t="s">
        <v>290</v>
      </c>
      <c r="J165" s="142" t="s">
        <v>291</v>
      </c>
      <c r="K165" s="142" t="s">
        <v>290</v>
      </c>
      <c r="L165" s="371">
        <f>IF(PolicyData[[#This Row],[ClaimFiled_Last5Yrs]]="Y",1,0)</f>
        <v>0</v>
      </c>
      <c r="M165" s="371">
        <f>IF(PolicyData[[#This Row],[Region]]="EAST",1,0)</f>
        <v>0</v>
      </c>
    </row>
    <row r="166" spans="1:13" ht="16" x14ac:dyDescent="0.2">
      <c r="A166" s="142" t="s">
        <v>456</v>
      </c>
      <c r="B166" s="143">
        <v>46324</v>
      </c>
      <c r="C166" s="142" t="s">
        <v>296</v>
      </c>
      <c r="D166" s="142">
        <v>2025</v>
      </c>
      <c r="E166" s="142">
        <v>46</v>
      </c>
      <c r="F166" s="144" t="s">
        <v>281</v>
      </c>
      <c r="G166" s="142" t="s">
        <v>85</v>
      </c>
      <c r="H166" s="145">
        <v>2200</v>
      </c>
      <c r="I166" s="142" t="s">
        <v>290</v>
      </c>
      <c r="J166" s="142" t="s">
        <v>291</v>
      </c>
      <c r="K166" s="142" t="s">
        <v>290</v>
      </c>
      <c r="L166" s="371">
        <f>IF(PolicyData[[#This Row],[ClaimFiled_Last5Yrs]]="Y",1,0)</f>
        <v>0</v>
      </c>
      <c r="M166" s="371">
        <f>IF(PolicyData[[#This Row],[Region]]="EAST",1,0)</f>
        <v>0</v>
      </c>
    </row>
    <row r="167" spans="1:13" ht="16" x14ac:dyDescent="0.2">
      <c r="A167" s="142" t="s">
        <v>457</v>
      </c>
      <c r="B167" s="143">
        <v>45982</v>
      </c>
      <c r="C167" s="142" t="s">
        <v>297</v>
      </c>
      <c r="D167" s="142">
        <v>2019</v>
      </c>
      <c r="E167" s="142">
        <v>68</v>
      </c>
      <c r="F167" s="144" t="s">
        <v>283</v>
      </c>
      <c r="G167" s="142" t="s">
        <v>87</v>
      </c>
      <c r="H167" s="145">
        <v>770</v>
      </c>
      <c r="I167" s="142" t="s">
        <v>290</v>
      </c>
      <c r="J167" s="142" t="s">
        <v>291</v>
      </c>
      <c r="K167" s="142" t="s">
        <v>290</v>
      </c>
      <c r="L167" s="371">
        <f>IF(PolicyData[[#This Row],[ClaimFiled_Last5Yrs]]="Y",1,0)</f>
        <v>0</v>
      </c>
      <c r="M167" s="371">
        <f>IF(PolicyData[[#This Row],[Region]]="EAST",1,0)</f>
        <v>1</v>
      </c>
    </row>
    <row r="168" spans="1:13" ht="16" x14ac:dyDescent="0.2">
      <c r="A168" s="142" t="s">
        <v>458</v>
      </c>
      <c r="B168" s="143">
        <v>46053</v>
      </c>
      <c r="C168" s="142" t="s">
        <v>298</v>
      </c>
      <c r="D168" s="142">
        <v>2026</v>
      </c>
      <c r="E168" s="142">
        <v>34</v>
      </c>
      <c r="F168" s="144" t="s">
        <v>282</v>
      </c>
      <c r="G168" s="142" t="s">
        <v>85</v>
      </c>
      <c r="H168" s="146">
        <v>2200</v>
      </c>
      <c r="I168" s="142" t="s">
        <v>291</v>
      </c>
      <c r="J168" s="142" t="s">
        <v>290</v>
      </c>
      <c r="K168" s="142" t="s">
        <v>290</v>
      </c>
      <c r="L168" s="371">
        <f>IF(PolicyData[[#This Row],[ClaimFiled_Last5Yrs]]="Y",1,0)</f>
        <v>1</v>
      </c>
      <c r="M168" s="371">
        <f>IF(PolicyData[[#This Row],[Region]]="EAST",1,0)</f>
        <v>0</v>
      </c>
    </row>
    <row r="169" spans="1:13" ht="16" x14ac:dyDescent="0.2">
      <c r="A169" s="142" t="s">
        <v>459</v>
      </c>
      <c r="B169" s="143">
        <v>46069</v>
      </c>
      <c r="C169" s="142" t="s">
        <v>299</v>
      </c>
      <c r="D169" s="142">
        <v>2026</v>
      </c>
      <c r="E169" s="142">
        <v>58</v>
      </c>
      <c r="F169" s="144" t="s">
        <v>294</v>
      </c>
      <c r="G169" s="142" t="s">
        <v>85</v>
      </c>
      <c r="H169" s="146">
        <v>1850</v>
      </c>
      <c r="I169" s="142" t="s">
        <v>290</v>
      </c>
      <c r="J169" s="142" t="s">
        <v>291</v>
      </c>
      <c r="K169" s="142" t="s">
        <v>290</v>
      </c>
      <c r="L169" s="371">
        <f>IF(PolicyData[[#This Row],[ClaimFiled_Last5Yrs]]="Y",1,0)</f>
        <v>0</v>
      </c>
      <c r="M169" s="371">
        <f>IF(PolicyData[[#This Row],[Region]]="EAST",1,0)</f>
        <v>0</v>
      </c>
    </row>
    <row r="170" spans="1:13" ht="16" x14ac:dyDescent="0.2">
      <c r="A170" s="142" t="s">
        <v>460</v>
      </c>
      <c r="B170" s="143">
        <v>46111</v>
      </c>
      <c r="C170" s="142" t="s">
        <v>300</v>
      </c>
      <c r="D170" s="142">
        <v>2022</v>
      </c>
      <c r="E170" s="142">
        <v>45</v>
      </c>
      <c r="F170" s="144" t="s">
        <v>281</v>
      </c>
      <c r="G170" s="142" t="s">
        <v>87</v>
      </c>
      <c r="H170" s="145">
        <v>930</v>
      </c>
      <c r="I170" s="142" t="s">
        <v>290</v>
      </c>
      <c r="J170" s="142" t="s">
        <v>291</v>
      </c>
      <c r="K170" s="142" t="s">
        <v>290</v>
      </c>
      <c r="L170" s="371">
        <f>IF(PolicyData[[#This Row],[ClaimFiled_Last5Yrs]]="Y",1,0)</f>
        <v>0</v>
      </c>
      <c r="M170" s="371">
        <f>IF(PolicyData[[#This Row],[Region]]="EAST",1,0)</f>
        <v>0</v>
      </c>
    </row>
    <row r="171" spans="1:13" ht="16" x14ac:dyDescent="0.2">
      <c r="A171" s="142" t="s">
        <v>461</v>
      </c>
      <c r="B171" s="143">
        <v>46119</v>
      </c>
      <c r="C171" s="142" t="s">
        <v>301</v>
      </c>
      <c r="D171" s="142">
        <v>2026</v>
      </c>
      <c r="E171" s="142">
        <v>30</v>
      </c>
      <c r="F171" s="144" t="s">
        <v>283</v>
      </c>
      <c r="G171" s="142" t="s">
        <v>85</v>
      </c>
      <c r="H171" s="146">
        <v>2550</v>
      </c>
      <c r="I171" s="142" t="s">
        <v>291</v>
      </c>
      <c r="J171" s="142" t="s">
        <v>291</v>
      </c>
      <c r="K171" s="142" t="s">
        <v>291</v>
      </c>
      <c r="L171" s="371">
        <f>IF(PolicyData[[#This Row],[ClaimFiled_Last5Yrs]]="Y",1,0)</f>
        <v>1</v>
      </c>
      <c r="M171" s="371">
        <f>IF(PolicyData[[#This Row],[Region]]="EAST",1,0)</f>
        <v>1</v>
      </c>
    </row>
    <row r="172" spans="1:13" ht="16" x14ac:dyDescent="0.2">
      <c r="A172" s="142" t="s">
        <v>462</v>
      </c>
      <c r="B172" s="143">
        <v>46161</v>
      </c>
      <c r="C172" s="142" t="s">
        <v>289</v>
      </c>
      <c r="D172" s="142">
        <v>2020</v>
      </c>
      <c r="E172" s="142">
        <v>74</v>
      </c>
      <c r="F172" s="144" t="s">
        <v>294</v>
      </c>
      <c r="G172" s="142" t="s">
        <v>87</v>
      </c>
      <c r="H172" s="146">
        <v>670</v>
      </c>
      <c r="I172" s="142" t="s">
        <v>290</v>
      </c>
      <c r="J172" s="142" t="s">
        <v>291</v>
      </c>
      <c r="K172" s="142" t="s">
        <v>290</v>
      </c>
      <c r="L172" s="371">
        <f>IF(PolicyData[[#This Row],[ClaimFiled_Last5Yrs]]="Y",1,0)</f>
        <v>0</v>
      </c>
      <c r="M172" s="371">
        <f>IF(PolicyData[[#This Row],[Region]]="EAST",1,0)</f>
        <v>0</v>
      </c>
    </row>
    <row r="173" spans="1:13" ht="16" x14ac:dyDescent="0.2">
      <c r="A173" s="142" t="s">
        <v>463</v>
      </c>
      <c r="B173" s="143">
        <v>46203</v>
      </c>
      <c r="C173" s="142" t="s">
        <v>292</v>
      </c>
      <c r="D173" s="142">
        <v>2026</v>
      </c>
      <c r="E173" s="142">
        <v>36</v>
      </c>
      <c r="F173" s="144" t="s">
        <v>282</v>
      </c>
      <c r="G173" s="142" t="s">
        <v>85</v>
      </c>
      <c r="H173" s="145">
        <v>1730</v>
      </c>
      <c r="I173" s="142" t="s">
        <v>290</v>
      </c>
      <c r="J173" s="142" t="s">
        <v>291</v>
      </c>
      <c r="K173" s="142" t="s">
        <v>290</v>
      </c>
      <c r="L173" s="371">
        <f>IF(PolicyData[[#This Row],[ClaimFiled_Last5Yrs]]="Y",1,0)</f>
        <v>0</v>
      </c>
      <c r="M173" s="371">
        <f>IF(PolicyData[[#This Row],[Region]]="EAST",1,0)</f>
        <v>0</v>
      </c>
    </row>
    <row r="174" spans="1:13" ht="16" x14ac:dyDescent="0.2">
      <c r="A174" s="142" t="s">
        <v>464</v>
      </c>
      <c r="B174" s="143">
        <v>46209</v>
      </c>
      <c r="C174" s="142" t="s">
        <v>293</v>
      </c>
      <c r="D174" s="142">
        <v>2025</v>
      </c>
      <c r="E174" s="142">
        <v>49</v>
      </c>
      <c r="F174" s="144" t="s">
        <v>281</v>
      </c>
      <c r="G174" s="142" t="s">
        <v>90</v>
      </c>
      <c r="H174" s="146">
        <v>1280</v>
      </c>
      <c r="I174" s="142" t="s">
        <v>291</v>
      </c>
      <c r="J174" s="142" t="s">
        <v>291</v>
      </c>
      <c r="K174" s="142" t="s">
        <v>290</v>
      </c>
      <c r="L174" s="371">
        <f>IF(PolicyData[[#This Row],[ClaimFiled_Last5Yrs]]="Y",1,0)</f>
        <v>1</v>
      </c>
      <c r="M174" s="371">
        <f>IF(PolicyData[[#This Row],[Region]]="EAST",1,0)</f>
        <v>0</v>
      </c>
    </row>
    <row r="175" spans="1:13" ht="16" x14ac:dyDescent="0.2">
      <c r="A175" s="142" t="s">
        <v>465</v>
      </c>
      <c r="B175" s="143">
        <v>46255</v>
      </c>
      <c r="C175" s="142" t="s">
        <v>295</v>
      </c>
      <c r="D175" s="142">
        <v>2026</v>
      </c>
      <c r="E175" s="142">
        <v>24</v>
      </c>
      <c r="F175" s="144" t="s">
        <v>283</v>
      </c>
      <c r="G175" s="142" t="s">
        <v>85</v>
      </c>
      <c r="H175" s="145">
        <v>2950</v>
      </c>
      <c r="I175" s="142" t="s">
        <v>290</v>
      </c>
      <c r="J175" s="142" t="s">
        <v>290</v>
      </c>
      <c r="K175" s="142" t="s">
        <v>291</v>
      </c>
      <c r="L175" s="371">
        <f>IF(PolicyData[[#This Row],[ClaimFiled_Last5Yrs]]="Y",1,0)</f>
        <v>0</v>
      </c>
      <c r="M175" s="371">
        <f>IF(PolicyData[[#This Row],[Region]]="EAST",1,0)</f>
        <v>1</v>
      </c>
    </row>
    <row r="176" spans="1:13" ht="16" x14ac:dyDescent="0.2">
      <c r="A176" s="142" t="s">
        <v>466</v>
      </c>
      <c r="B176" s="143">
        <v>46275</v>
      </c>
      <c r="C176" s="142" t="s">
        <v>296</v>
      </c>
      <c r="D176" s="142">
        <v>2021</v>
      </c>
      <c r="E176" s="142">
        <v>64</v>
      </c>
      <c r="F176" s="144" t="s">
        <v>294</v>
      </c>
      <c r="G176" s="142" t="s">
        <v>87</v>
      </c>
      <c r="H176" s="145">
        <v>1110</v>
      </c>
      <c r="I176" s="142" t="s">
        <v>290</v>
      </c>
      <c r="J176" s="142" t="s">
        <v>291</v>
      </c>
      <c r="K176" s="142" t="s">
        <v>290</v>
      </c>
      <c r="L176" s="371">
        <f>IF(PolicyData[[#This Row],[ClaimFiled_Last5Yrs]]="Y",1,0)</f>
        <v>0</v>
      </c>
      <c r="M176" s="371">
        <f>IF(PolicyData[[#This Row],[Region]]="EAST",1,0)</f>
        <v>0</v>
      </c>
    </row>
    <row r="177" spans="1:13" ht="16" x14ac:dyDescent="0.2">
      <c r="A177" s="142" t="s">
        <v>467</v>
      </c>
      <c r="B177" s="143">
        <v>46320</v>
      </c>
      <c r="C177" s="142" t="s">
        <v>297</v>
      </c>
      <c r="D177" s="142">
        <v>2026</v>
      </c>
      <c r="E177" s="142">
        <v>35</v>
      </c>
      <c r="F177" s="144" t="s">
        <v>282</v>
      </c>
      <c r="G177" s="142" t="s">
        <v>85</v>
      </c>
      <c r="H177" s="146">
        <v>2100</v>
      </c>
      <c r="I177" s="142" t="s">
        <v>290</v>
      </c>
      <c r="J177" s="142" t="s">
        <v>291</v>
      </c>
      <c r="K177" s="142" t="s">
        <v>290</v>
      </c>
      <c r="L177" s="371">
        <f>IF(PolicyData[[#This Row],[ClaimFiled_Last5Yrs]]="Y",1,0)</f>
        <v>0</v>
      </c>
      <c r="M177" s="371">
        <f>IF(PolicyData[[#This Row],[Region]]="EAST",1,0)</f>
        <v>0</v>
      </c>
    </row>
    <row r="178" spans="1:13" ht="16" x14ac:dyDescent="0.2">
      <c r="A178" s="142" t="s">
        <v>468</v>
      </c>
      <c r="B178" s="143">
        <v>45974</v>
      </c>
      <c r="C178" s="142" t="s">
        <v>298</v>
      </c>
      <c r="D178" s="142">
        <v>2022</v>
      </c>
      <c r="E178" s="142">
        <v>80</v>
      </c>
      <c r="F178" s="144" t="s">
        <v>281</v>
      </c>
      <c r="G178" s="142" t="s">
        <v>87</v>
      </c>
      <c r="H178" s="146">
        <v>770</v>
      </c>
      <c r="I178" s="142" t="s">
        <v>290</v>
      </c>
      <c r="J178" s="142" t="s">
        <v>291</v>
      </c>
      <c r="K178" s="142" t="s">
        <v>290</v>
      </c>
      <c r="L178" s="371">
        <f>IF(PolicyData[[#This Row],[ClaimFiled_Last5Yrs]]="Y",1,0)</f>
        <v>0</v>
      </c>
      <c r="M178" s="371">
        <f>IF(PolicyData[[#This Row],[Region]]="EAST",1,0)</f>
        <v>0</v>
      </c>
    </row>
    <row r="179" spans="1:13" ht="16" x14ac:dyDescent="0.2">
      <c r="A179" s="142" t="s">
        <v>469</v>
      </c>
      <c r="B179" s="143">
        <v>46075</v>
      </c>
      <c r="C179" s="142" t="s">
        <v>299</v>
      </c>
      <c r="D179" s="142">
        <v>2026</v>
      </c>
      <c r="E179" s="142">
        <v>40</v>
      </c>
      <c r="F179" s="144" t="s">
        <v>283</v>
      </c>
      <c r="G179" s="142" t="s">
        <v>85</v>
      </c>
      <c r="H179" s="146">
        <v>2000</v>
      </c>
      <c r="I179" s="142" t="s">
        <v>291</v>
      </c>
      <c r="J179" s="142" t="s">
        <v>291</v>
      </c>
      <c r="K179" s="142" t="s">
        <v>290</v>
      </c>
      <c r="L179" s="371">
        <f>IF(PolicyData[[#This Row],[ClaimFiled_Last5Yrs]]="Y",1,0)</f>
        <v>1</v>
      </c>
      <c r="M179" s="371">
        <f>IF(PolicyData[[#This Row],[Region]]="EAST",1,0)</f>
        <v>1</v>
      </c>
    </row>
    <row r="180" spans="1:13" ht="16" x14ac:dyDescent="0.2">
      <c r="A180" s="142" t="s">
        <v>470</v>
      </c>
      <c r="B180" s="143">
        <v>46089</v>
      </c>
      <c r="C180" s="142" t="s">
        <v>300</v>
      </c>
      <c r="D180" s="142">
        <v>2024</v>
      </c>
      <c r="E180" s="142">
        <v>58</v>
      </c>
      <c r="F180" s="144" t="s">
        <v>294</v>
      </c>
      <c r="G180" s="142" t="s">
        <v>90</v>
      </c>
      <c r="H180" s="146">
        <v>1450</v>
      </c>
      <c r="I180" s="142" t="s">
        <v>290</v>
      </c>
      <c r="J180" s="142" t="s">
        <v>291</v>
      </c>
      <c r="K180" s="142" t="s">
        <v>290</v>
      </c>
      <c r="L180" s="371">
        <f>IF(PolicyData[[#This Row],[ClaimFiled_Last5Yrs]]="Y",1,0)</f>
        <v>0</v>
      </c>
      <c r="M180" s="371">
        <f>IF(PolicyData[[#This Row],[Region]]="EAST",1,0)</f>
        <v>0</v>
      </c>
    </row>
    <row r="181" spans="1:13" ht="16" x14ac:dyDescent="0.2">
      <c r="A181" s="142" t="s">
        <v>471</v>
      </c>
      <c r="B181" s="143">
        <v>46142</v>
      </c>
      <c r="C181" s="142" t="s">
        <v>301</v>
      </c>
      <c r="D181" s="142">
        <v>2026</v>
      </c>
      <c r="E181" s="142">
        <v>31</v>
      </c>
      <c r="F181" s="144" t="s">
        <v>282</v>
      </c>
      <c r="G181" s="142" t="s">
        <v>85</v>
      </c>
      <c r="H181" s="146">
        <v>2500</v>
      </c>
      <c r="I181" s="142" t="s">
        <v>291</v>
      </c>
      <c r="J181" s="142" t="s">
        <v>290</v>
      </c>
      <c r="K181" s="142" t="s">
        <v>290</v>
      </c>
      <c r="L181" s="371">
        <f>IF(PolicyData[[#This Row],[ClaimFiled_Last5Yrs]]="Y",1,0)</f>
        <v>1</v>
      </c>
      <c r="M181" s="371">
        <f>IF(PolicyData[[#This Row],[Region]]="EAST",1,0)</f>
        <v>0</v>
      </c>
    </row>
    <row r="182" spans="1:13" ht="16" x14ac:dyDescent="0.2">
      <c r="A182" s="142" t="s">
        <v>472</v>
      </c>
      <c r="B182" s="143">
        <v>46159</v>
      </c>
      <c r="C182" s="142" t="s">
        <v>289</v>
      </c>
      <c r="D182" s="142">
        <v>2026</v>
      </c>
      <c r="E182" s="142">
        <v>46</v>
      </c>
      <c r="F182" s="144" t="s">
        <v>281</v>
      </c>
      <c r="G182" s="142" t="s">
        <v>85</v>
      </c>
      <c r="H182" s="145">
        <v>1780</v>
      </c>
      <c r="I182" s="142" t="s">
        <v>290</v>
      </c>
      <c r="J182" s="142" t="s">
        <v>291</v>
      </c>
      <c r="K182" s="142" t="s">
        <v>290</v>
      </c>
      <c r="L182" s="371">
        <f>IF(PolicyData[[#This Row],[ClaimFiled_Last5Yrs]]="Y",1,0)</f>
        <v>0</v>
      </c>
      <c r="M182" s="371">
        <f>IF(PolicyData[[#This Row],[Region]]="EAST",1,0)</f>
        <v>0</v>
      </c>
    </row>
    <row r="183" spans="1:13" ht="16" x14ac:dyDescent="0.2">
      <c r="A183" s="142" t="s">
        <v>473</v>
      </c>
      <c r="B183" s="143">
        <v>46206</v>
      </c>
      <c r="C183" s="142" t="s">
        <v>292</v>
      </c>
      <c r="D183" s="142">
        <v>2021</v>
      </c>
      <c r="E183" s="142">
        <v>56</v>
      </c>
      <c r="F183" s="144" t="s">
        <v>283</v>
      </c>
      <c r="G183" s="142" t="s">
        <v>87</v>
      </c>
      <c r="H183" s="146">
        <v>890</v>
      </c>
      <c r="I183" s="142" t="s">
        <v>290</v>
      </c>
      <c r="J183" s="142" t="s">
        <v>291</v>
      </c>
      <c r="K183" s="142" t="s">
        <v>291</v>
      </c>
      <c r="L183" s="371">
        <f>IF(PolicyData[[#This Row],[ClaimFiled_Last5Yrs]]="Y",1,0)</f>
        <v>0</v>
      </c>
      <c r="M183" s="371">
        <f>IF(PolicyData[[#This Row],[Region]]="EAST",1,0)</f>
        <v>1</v>
      </c>
    </row>
    <row r="184" spans="1:13" ht="16" x14ac:dyDescent="0.2">
      <c r="A184" s="142" t="s">
        <v>474</v>
      </c>
      <c r="B184" s="143">
        <v>46247</v>
      </c>
      <c r="C184" s="142" t="s">
        <v>293</v>
      </c>
      <c r="D184" s="142">
        <v>2026</v>
      </c>
      <c r="E184" s="142">
        <v>27</v>
      </c>
      <c r="F184" s="144" t="s">
        <v>294</v>
      </c>
      <c r="G184" s="142" t="s">
        <v>85</v>
      </c>
      <c r="H184" s="145">
        <v>2750</v>
      </c>
      <c r="I184" s="142" t="s">
        <v>291</v>
      </c>
      <c r="J184" s="142" t="s">
        <v>290</v>
      </c>
      <c r="K184" s="142" t="s">
        <v>290</v>
      </c>
      <c r="L184" s="371">
        <f>IF(PolicyData[[#This Row],[ClaimFiled_Last5Yrs]]="Y",1,0)</f>
        <v>1</v>
      </c>
      <c r="M184" s="371">
        <f>IF(PolicyData[[#This Row],[Region]]="EAST",1,0)</f>
        <v>0</v>
      </c>
    </row>
    <row r="185" spans="1:13" ht="16" x14ac:dyDescent="0.2">
      <c r="A185" s="142" t="s">
        <v>475</v>
      </c>
      <c r="B185" s="143">
        <v>46290</v>
      </c>
      <c r="C185" s="142" t="s">
        <v>295</v>
      </c>
      <c r="D185" s="142">
        <v>2025</v>
      </c>
      <c r="E185" s="142">
        <v>65</v>
      </c>
      <c r="F185" s="144" t="s">
        <v>282</v>
      </c>
      <c r="G185" s="142" t="s">
        <v>90</v>
      </c>
      <c r="H185" s="146">
        <v>1070</v>
      </c>
      <c r="I185" s="142" t="s">
        <v>290</v>
      </c>
      <c r="J185" s="142" t="s">
        <v>291</v>
      </c>
      <c r="K185" s="142" t="s">
        <v>290</v>
      </c>
      <c r="L185" s="371">
        <f>IF(PolicyData[[#This Row],[ClaimFiled_Last5Yrs]]="Y",1,0)</f>
        <v>0</v>
      </c>
      <c r="M185" s="371">
        <f>IF(PolicyData[[#This Row],[Region]]="EAST",1,0)</f>
        <v>0</v>
      </c>
    </row>
    <row r="186" spans="1:13" ht="16" x14ac:dyDescent="0.2">
      <c r="A186" s="142" t="s">
        <v>476</v>
      </c>
      <c r="B186" s="143">
        <v>46306</v>
      </c>
      <c r="C186" s="142" t="s">
        <v>296</v>
      </c>
      <c r="D186" s="142">
        <v>2025</v>
      </c>
      <c r="E186" s="142">
        <v>48</v>
      </c>
      <c r="F186" s="144" t="s">
        <v>281</v>
      </c>
      <c r="G186" s="142" t="s">
        <v>85</v>
      </c>
      <c r="H186" s="145">
        <v>2250</v>
      </c>
      <c r="I186" s="142" t="s">
        <v>290</v>
      </c>
      <c r="J186" s="142" t="s">
        <v>291</v>
      </c>
      <c r="K186" s="142" t="s">
        <v>290</v>
      </c>
      <c r="L186" s="371">
        <f>IF(PolicyData[[#This Row],[ClaimFiled_Last5Yrs]]="Y",1,0)</f>
        <v>0</v>
      </c>
      <c r="M186" s="371">
        <f>IF(PolicyData[[#This Row],[Region]]="EAST",1,0)</f>
        <v>0</v>
      </c>
    </row>
    <row r="187" spans="1:13" ht="16" x14ac:dyDescent="0.2">
      <c r="A187" s="142" t="s">
        <v>477</v>
      </c>
      <c r="B187" s="143">
        <v>45995</v>
      </c>
      <c r="C187" s="142" t="s">
        <v>297</v>
      </c>
      <c r="D187" s="142">
        <v>2020</v>
      </c>
      <c r="E187" s="142">
        <v>69</v>
      </c>
      <c r="F187" s="144" t="s">
        <v>283</v>
      </c>
      <c r="G187" s="142" t="s">
        <v>87</v>
      </c>
      <c r="H187" s="145">
        <v>800</v>
      </c>
      <c r="I187" s="142" t="s">
        <v>290</v>
      </c>
      <c r="J187" s="142" t="s">
        <v>291</v>
      </c>
      <c r="K187" s="142" t="s">
        <v>290</v>
      </c>
      <c r="L187" s="371">
        <f>IF(PolicyData[[#This Row],[ClaimFiled_Last5Yrs]]="Y",1,0)</f>
        <v>0</v>
      </c>
      <c r="M187" s="371">
        <f>IF(PolicyData[[#This Row],[Region]]="EAST",1,0)</f>
        <v>1</v>
      </c>
    </row>
    <row r="188" spans="1:13" ht="16" x14ac:dyDescent="0.2">
      <c r="A188" s="142" t="s">
        <v>478</v>
      </c>
      <c r="B188" s="143">
        <v>46060</v>
      </c>
      <c r="C188" s="142" t="s">
        <v>298</v>
      </c>
      <c r="D188" s="142">
        <v>2026</v>
      </c>
      <c r="E188" s="142">
        <v>36</v>
      </c>
      <c r="F188" s="144" t="s">
        <v>282</v>
      </c>
      <c r="G188" s="142" t="s">
        <v>85</v>
      </c>
      <c r="H188" s="145">
        <v>2250</v>
      </c>
      <c r="I188" s="142" t="s">
        <v>291</v>
      </c>
      <c r="J188" s="142" t="s">
        <v>290</v>
      </c>
      <c r="K188" s="142" t="s">
        <v>290</v>
      </c>
      <c r="L188" s="371">
        <f>IF(PolicyData[[#This Row],[ClaimFiled_Last5Yrs]]="Y",1,0)</f>
        <v>1</v>
      </c>
      <c r="M188" s="371">
        <f>IF(PolicyData[[#This Row],[Region]]="EAST",1,0)</f>
        <v>0</v>
      </c>
    </row>
    <row r="189" spans="1:13" ht="16" x14ac:dyDescent="0.2">
      <c r="A189" s="142" t="s">
        <v>479</v>
      </c>
      <c r="B189" s="143">
        <v>46101</v>
      </c>
      <c r="C189" s="142" t="s">
        <v>299</v>
      </c>
      <c r="D189" s="142">
        <v>2026</v>
      </c>
      <c r="E189" s="142">
        <v>59</v>
      </c>
      <c r="F189" s="144" t="s">
        <v>294</v>
      </c>
      <c r="G189" s="142" t="s">
        <v>85</v>
      </c>
      <c r="H189" s="145">
        <v>1900</v>
      </c>
      <c r="I189" s="142" t="s">
        <v>290</v>
      </c>
      <c r="J189" s="142" t="s">
        <v>291</v>
      </c>
      <c r="K189" s="142" t="s">
        <v>290</v>
      </c>
      <c r="L189" s="371">
        <f>IF(PolicyData[[#This Row],[ClaimFiled_Last5Yrs]]="Y",1,0)</f>
        <v>0</v>
      </c>
      <c r="M189" s="371">
        <f>IF(PolicyData[[#This Row],[Region]]="EAST",1,0)</f>
        <v>0</v>
      </c>
    </row>
    <row r="190" spans="1:13" ht="16" x14ac:dyDescent="0.2">
      <c r="A190" s="142" t="s">
        <v>480</v>
      </c>
      <c r="B190" s="143">
        <v>46124</v>
      </c>
      <c r="C190" s="142" t="s">
        <v>300</v>
      </c>
      <c r="D190" s="142">
        <v>2023</v>
      </c>
      <c r="E190" s="142">
        <v>47</v>
      </c>
      <c r="F190" s="144" t="s">
        <v>281</v>
      </c>
      <c r="G190" s="142" t="s">
        <v>87</v>
      </c>
      <c r="H190" s="145">
        <v>960</v>
      </c>
      <c r="I190" s="142" t="s">
        <v>290</v>
      </c>
      <c r="J190" s="142" t="s">
        <v>291</v>
      </c>
      <c r="K190" s="142" t="s">
        <v>290</v>
      </c>
      <c r="L190" s="371">
        <f>IF(PolicyData[[#This Row],[ClaimFiled_Last5Yrs]]="Y",1,0)</f>
        <v>0</v>
      </c>
      <c r="M190" s="371">
        <f>IF(PolicyData[[#This Row],[Region]]="EAST",1,0)</f>
        <v>0</v>
      </c>
    </row>
    <row r="191" spans="1:13" ht="16" x14ac:dyDescent="0.2">
      <c r="A191" s="142" t="s">
        <v>481</v>
      </c>
      <c r="B191" s="143">
        <v>46169</v>
      </c>
      <c r="C191" s="142" t="s">
        <v>301</v>
      </c>
      <c r="D191" s="142">
        <v>2026</v>
      </c>
      <c r="E191" s="142">
        <v>32</v>
      </c>
      <c r="F191" s="144" t="s">
        <v>283</v>
      </c>
      <c r="G191" s="142" t="s">
        <v>85</v>
      </c>
      <c r="H191" s="145">
        <v>2600</v>
      </c>
      <c r="I191" s="142" t="s">
        <v>291</v>
      </c>
      <c r="J191" s="142" t="s">
        <v>291</v>
      </c>
      <c r="K191" s="142" t="s">
        <v>291</v>
      </c>
      <c r="L191" s="371">
        <f>IF(PolicyData[[#This Row],[ClaimFiled_Last5Yrs]]="Y",1,0)</f>
        <v>1</v>
      </c>
      <c r="M191" s="371">
        <f>IF(PolicyData[[#This Row],[Region]]="EAST",1,0)</f>
        <v>1</v>
      </c>
    </row>
    <row r="192" spans="1:13" ht="16" x14ac:dyDescent="0.2">
      <c r="A192" s="142" t="s">
        <v>482</v>
      </c>
      <c r="B192" s="143">
        <v>46192</v>
      </c>
      <c r="C192" s="142" t="s">
        <v>289</v>
      </c>
      <c r="D192" s="142">
        <v>2021</v>
      </c>
      <c r="E192" s="142">
        <v>75</v>
      </c>
      <c r="F192" s="144" t="s">
        <v>294</v>
      </c>
      <c r="G192" s="142" t="s">
        <v>87</v>
      </c>
      <c r="H192" s="145">
        <v>700</v>
      </c>
      <c r="I192" s="142" t="s">
        <v>290</v>
      </c>
      <c r="J192" s="142" t="s">
        <v>291</v>
      </c>
      <c r="K192" s="142" t="s">
        <v>290</v>
      </c>
      <c r="L192" s="371">
        <f>IF(PolicyData[[#This Row],[ClaimFiled_Last5Yrs]]="Y",1,0)</f>
        <v>0</v>
      </c>
      <c r="M192" s="371">
        <f>IF(PolicyData[[#This Row],[Region]]="EAST",1,0)</f>
        <v>0</v>
      </c>
    </row>
    <row r="193" spans="1:13" ht="16" x14ac:dyDescent="0.2">
      <c r="A193" s="142" t="s">
        <v>483</v>
      </c>
      <c r="B193" s="143">
        <v>46207</v>
      </c>
      <c r="C193" s="142" t="s">
        <v>292</v>
      </c>
      <c r="D193" s="142">
        <v>2026</v>
      </c>
      <c r="E193" s="142">
        <v>38</v>
      </c>
      <c r="F193" s="144" t="s">
        <v>282</v>
      </c>
      <c r="G193" s="142" t="s">
        <v>85</v>
      </c>
      <c r="H193" s="146">
        <v>1780</v>
      </c>
      <c r="I193" s="142" t="s">
        <v>290</v>
      </c>
      <c r="J193" s="142" t="s">
        <v>291</v>
      </c>
      <c r="K193" s="142" t="s">
        <v>290</v>
      </c>
      <c r="L193" s="371">
        <f>IF(PolicyData[[#This Row],[ClaimFiled_Last5Yrs]]="Y",1,0)</f>
        <v>0</v>
      </c>
      <c r="M193" s="371">
        <f>IF(PolicyData[[#This Row],[Region]]="EAST",1,0)</f>
        <v>0</v>
      </c>
    </row>
    <row r="194" spans="1:13" ht="16" x14ac:dyDescent="0.2">
      <c r="A194" s="142" t="s">
        <v>484</v>
      </c>
      <c r="B194" s="143">
        <v>46250</v>
      </c>
      <c r="C194" s="142" t="s">
        <v>293</v>
      </c>
      <c r="D194" s="142">
        <v>2026</v>
      </c>
      <c r="E194" s="142">
        <v>50</v>
      </c>
      <c r="F194" s="144" t="s">
        <v>281</v>
      </c>
      <c r="G194" s="142" t="s">
        <v>90</v>
      </c>
      <c r="H194" s="145">
        <v>1330</v>
      </c>
      <c r="I194" s="142" t="s">
        <v>291</v>
      </c>
      <c r="J194" s="142" t="s">
        <v>291</v>
      </c>
      <c r="K194" s="142" t="s">
        <v>290</v>
      </c>
      <c r="L194" s="371">
        <f>IF(PolicyData[[#This Row],[ClaimFiled_Last5Yrs]]="Y",1,0)</f>
        <v>1</v>
      </c>
      <c r="M194" s="371">
        <f>IF(PolicyData[[#This Row],[Region]]="EAST",1,0)</f>
        <v>0</v>
      </c>
    </row>
    <row r="195" spans="1:13" ht="16" x14ac:dyDescent="0.2">
      <c r="A195" s="142" t="s">
        <v>485</v>
      </c>
      <c r="B195" s="143">
        <v>46295</v>
      </c>
      <c r="C195" s="142" t="s">
        <v>295</v>
      </c>
      <c r="D195" s="142">
        <v>2026</v>
      </c>
      <c r="E195" s="142">
        <v>25</v>
      </c>
      <c r="F195" s="144" t="s">
        <v>283</v>
      </c>
      <c r="G195" s="142" t="s">
        <v>85</v>
      </c>
      <c r="H195" s="145">
        <v>3000</v>
      </c>
      <c r="I195" s="142" t="s">
        <v>290</v>
      </c>
      <c r="J195" s="142" t="s">
        <v>290</v>
      </c>
      <c r="K195" s="142" t="s">
        <v>291</v>
      </c>
      <c r="L195" s="371">
        <f>IF(PolicyData[[#This Row],[ClaimFiled_Last5Yrs]]="Y",1,0)</f>
        <v>0</v>
      </c>
      <c r="M195" s="371">
        <f>IF(PolicyData[[#This Row],[Region]]="EAST",1,0)</f>
        <v>1</v>
      </c>
    </row>
    <row r="196" spans="1:13" ht="16" x14ac:dyDescent="0.2">
      <c r="A196" s="142" t="s">
        <v>486</v>
      </c>
      <c r="B196" s="143">
        <v>46309</v>
      </c>
      <c r="C196" s="142" t="s">
        <v>296</v>
      </c>
      <c r="D196" s="142">
        <v>2022</v>
      </c>
      <c r="E196" s="142">
        <v>66</v>
      </c>
      <c r="F196" s="144" t="s">
        <v>294</v>
      </c>
      <c r="G196" s="142" t="s">
        <v>87</v>
      </c>
      <c r="H196" s="146">
        <v>1140</v>
      </c>
      <c r="I196" s="142" t="s">
        <v>290</v>
      </c>
      <c r="J196" s="142" t="s">
        <v>291</v>
      </c>
      <c r="K196" s="142" t="s">
        <v>290</v>
      </c>
      <c r="L196" s="371">
        <f>IF(PolicyData[[#This Row],[ClaimFiled_Last5Yrs]]="Y",1,0)</f>
        <v>0</v>
      </c>
      <c r="M196" s="371">
        <f>IF(PolicyData[[#This Row],[Region]]="EAST",1,0)</f>
        <v>0</v>
      </c>
    </row>
    <row r="197" spans="1:13" ht="16" x14ac:dyDescent="0.2">
      <c r="A197" s="142" t="s">
        <v>487</v>
      </c>
      <c r="B197" s="143">
        <v>45989</v>
      </c>
      <c r="C197" s="142" t="s">
        <v>297</v>
      </c>
      <c r="D197" s="142">
        <v>2026</v>
      </c>
      <c r="E197" s="142">
        <v>37</v>
      </c>
      <c r="F197" s="144" t="s">
        <v>282</v>
      </c>
      <c r="G197" s="142" t="s">
        <v>85</v>
      </c>
      <c r="H197" s="146">
        <v>2150</v>
      </c>
      <c r="I197" s="142" t="s">
        <v>290</v>
      </c>
      <c r="J197" s="142" t="s">
        <v>291</v>
      </c>
      <c r="K197" s="142" t="s">
        <v>290</v>
      </c>
      <c r="L197" s="371">
        <f>IF(PolicyData[[#This Row],[ClaimFiled_Last5Yrs]]="Y",1,0)</f>
        <v>0</v>
      </c>
      <c r="M197" s="371">
        <f>IF(PolicyData[[#This Row],[Region]]="EAST",1,0)</f>
        <v>0</v>
      </c>
    </row>
    <row r="198" spans="1:13" ht="16" x14ac:dyDescent="0.2">
      <c r="A198" s="142" t="s">
        <v>488</v>
      </c>
      <c r="B198" s="143">
        <v>45998</v>
      </c>
      <c r="C198" s="142" t="s">
        <v>298</v>
      </c>
      <c r="D198" s="142">
        <v>2023</v>
      </c>
      <c r="E198" s="142">
        <v>81</v>
      </c>
      <c r="F198" s="144" t="s">
        <v>281</v>
      </c>
      <c r="G198" s="142" t="s">
        <v>87</v>
      </c>
      <c r="H198" s="145">
        <v>800</v>
      </c>
      <c r="I198" s="142" t="s">
        <v>290</v>
      </c>
      <c r="J198" s="142" t="s">
        <v>291</v>
      </c>
      <c r="K198" s="142" t="s">
        <v>290</v>
      </c>
      <c r="L198" s="371">
        <f>IF(PolicyData[[#This Row],[ClaimFiled_Last5Yrs]]="Y",1,0)</f>
        <v>0</v>
      </c>
      <c r="M198" s="371">
        <f>IF(PolicyData[[#This Row],[Region]]="EAST",1,0)</f>
        <v>0</v>
      </c>
    </row>
    <row r="199" spans="1:13" ht="16" x14ac:dyDescent="0.2">
      <c r="A199" s="142" t="s">
        <v>489</v>
      </c>
      <c r="B199" s="143">
        <v>46073</v>
      </c>
      <c r="C199" s="142" t="s">
        <v>299</v>
      </c>
      <c r="D199" s="142">
        <v>2026</v>
      </c>
      <c r="E199" s="142">
        <v>41</v>
      </c>
      <c r="F199" s="144" t="s">
        <v>283</v>
      </c>
      <c r="G199" s="142" t="s">
        <v>85</v>
      </c>
      <c r="H199" s="146">
        <v>2050</v>
      </c>
      <c r="I199" s="142" t="s">
        <v>291</v>
      </c>
      <c r="J199" s="142" t="s">
        <v>291</v>
      </c>
      <c r="K199" s="142" t="s">
        <v>290</v>
      </c>
      <c r="L199" s="371">
        <f>IF(PolicyData[[#This Row],[ClaimFiled_Last5Yrs]]="Y",1,0)</f>
        <v>1</v>
      </c>
      <c r="M199" s="371">
        <f>IF(PolicyData[[#This Row],[Region]]="EAST",1,0)</f>
        <v>1</v>
      </c>
    </row>
    <row r="200" spans="1:13" ht="16" x14ac:dyDescent="0.2">
      <c r="A200" s="142" t="s">
        <v>490</v>
      </c>
      <c r="B200" s="143">
        <v>46086</v>
      </c>
      <c r="C200" s="142" t="s">
        <v>300</v>
      </c>
      <c r="D200" s="142">
        <v>2025</v>
      </c>
      <c r="E200" s="142">
        <v>60</v>
      </c>
      <c r="F200" s="144" t="s">
        <v>294</v>
      </c>
      <c r="G200" s="142" t="s">
        <v>90</v>
      </c>
      <c r="H200" s="145">
        <v>1500</v>
      </c>
      <c r="I200" s="142" t="s">
        <v>290</v>
      </c>
      <c r="J200" s="142" t="s">
        <v>291</v>
      </c>
      <c r="K200" s="142" t="s">
        <v>290</v>
      </c>
      <c r="L200" s="371">
        <f>IF(PolicyData[[#This Row],[ClaimFiled_Last5Yrs]]="Y",1,0)</f>
        <v>0</v>
      </c>
      <c r="M200" s="371">
        <f>IF(PolicyData[[#This Row],[Region]]="EAST",1,0)</f>
        <v>0</v>
      </c>
    </row>
    <row r="201" spans="1:13" ht="16" x14ac:dyDescent="0.2">
      <c r="A201" s="142" t="s">
        <v>491</v>
      </c>
      <c r="B201" s="143">
        <v>46135</v>
      </c>
      <c r="C201" s="142" t="s">
        <v>301</v>
      </c>
      <c r="D201" s="142">
        <v>2026</v>
      </c>
      <c r="E201" s="142">
        <v>33</v>
      </c>
      <c r="F201" s="144" t="s">
        <v>282</v>
      </c>
      <c r="G201" s="142" t="s">
        <v>85</v>
      </c>
      <c r="H201" s="145">
        <v>2550</v>
      </c>
      <c r="I201" s="142" t="s">
        <v>291</v>
      </c>
      <c r="J201" s="142" t="s">
        <v>290</v>
      </c>
      <c r="K201" s="142" t="s">
        <v>290</v>
      </c>
      <c r="L201" s="371">
        <f>IF(PolicyData[[#This Row],[ClaimFiled_Last5Yrs]]="Y",1,0)</f>
        <v>1</v>
      </c>
      <c r="M201" s="371">
        <f>IF(PolicyData[[#This Row],[Region]]="EAST",1,0)</f>
        <v>0</v>
      </c>
    </row>
    <row r="202" spans="1:13" ht="16" x14ac:dyDescent="0.2">
      <c r="A202" s="142" t="s">
        <v>492</v>
      </c>
      <c r="B202" s="143">
        <v>46283</v>
      </c>
      <c r="C202" s="142" t="s">
        <v>289</v>
      </c>
      <c r="D202" s="142">
        <v>2024</v>
      </c>
      <c r="E202" s="142">
        <v>38</v>
      </c>
      <c r="F202" s="144" t="s">
        <v>281</v>
      </c>
      <c r="G202" s="142" t="s">
        <v>85</v>
      </c>
      <c r="H202" s="145">
        <v>1630</v>
      </c>
      <c r="I202" s="142" t="s">
        <v>290</v>
      </c>
      <c r="J202" s="142" t="s">
        <v>291</v>
      </c>
      <c r="K202" s="142" t="s">
        <v>290</v>
      </c>
      <c r="L202" s="371">
        <f>IF(PolicyData[[#This Row],[ClaimFiled_Last5Yrs]]="Y",1,0)</f>
        <v>0</v>
      </c>
      <c r="M202" s="371">
        <f>IF(PolicyData[[#This Row],[Region]]="EAST",1,0)</f>
        <v>0</v>
      </c>
    </row>
    <row r="203" spans="1:13" ht="16" x14ac:dyDescent="0.2">
      <c r="A203" s="142" t="s">
        <v>493</v>
      </c>
      <c r="B203" s="143">
        <v>46115</v>
      </c>
      <c r="C203" s="142" t="s">
        <v>292</v>
      </c>
      <c r="D203" s="142">
        <v>2021</v>
      </c>
      <c r="E203" s="142">
        <v>54</v>
      </c>
      <c r="F203" s="144" t="s">
        <v>283</v>
      </c>
      <c r="G203" s="142" t="s">
        <v>87</v>
      </c>
      <c r="H203" s="145">
        <v>910</v>
      </c>
      <c r="I203" s="142" t="s">
        <v>291</v>
      </c>
      <c r="J203" s="142" t="s">
        <v>291</v>
      </c>
      <c r="K203" s="142" t="s">
        <v>290</v>
      </c>
      <c r="L203" s="371">
        <f>IF(PolicyData[[#This Row],[ClaimFiled_Last5Yrs]]="Y",1,0)</f>
        <v>1</v>
      </c>
      <c r="M203" s="371">
        <f>IF(PolicyData[[#This Row],[Region]]="EAST",1,0)</f>
        <v>1</v>
      </c>
    </row>
    <row r="204" spans="1:13" ht="16" x14ac:dyDescent="0.2">
      <c r="A204" s="142" t="s">
        <v>494</v>
      </c>
      <c r="B204" s="143">
        <v>45981</v>
      </c>
      <c r="C204" s="142" t="s">
        <v>293</v>
      </c>
      <c r="D204" s="142">
        <v>2026</v>
      </c>
      <c r="E204" s="142">
        <v>26</v>
      </c>
      <c r="F204" s="144" t="s">
        <v>294</v>
      </c>
      <c r="G204" s="142" t="s">
        <v>85</v>
      </c>
      <c r="H204" s="145">
        <v>2750</v>
      </c>
      <c r="I204" s="142" t="s">
        <v>290</v>
      </c>
      <c r="J204" s="142" t="s">
        <v>290</v>
      </c>
      <c r="K204" s="142" t="s">
        <v>290</v>
      </c>
      <c r="L204" s="371">
        <f>IF(PolicyData[[#This Row],[ClaimFiled_Last5Yrs]]="Y",1,0)</f>
        <v>0</v>
      </c>
      <c r="M204" s="371">
        <f>IF(PolicyData[[#This Row],[Region]]="EAST",1,0)</f>
        <v>0</v>
      </c>
    </row>
    <row r="205" spans="1:13" ht="16" x14ac:dyDescent="0.2">
      <c r="A205" s="142" t="s">
        <v>495</v>
      </c>
      <c r="B205" s="143">
        <v>46187</v>
      </c>
      <c r="C205" s="142" t="s">
        <v>295</v>
      </c>
      <c r="D205" s="142">
        <v>2024</v>
      </c>
      <c r="E205" s="142">
        <v>67</v>
      </c>
      <c r="F205" s="144" t="s">
        <v>282</v>
      </c>
      <c r="G205" s="142" t="s">
        <v>90</v>
      </c>
      <c r="H205" s="145">
        <v>1060</v>
      </c>
      <c r="I205" s="142" t="s">
        <v>290</v>
      </c>
      <c r="J205" s="142" t="s">
        <v>291</v>
      </c>
      <c r="K205" s="142" t="s">
        <v>290</v>
      </c>
      <c r="L205" s="371">
        <f>IF(PolicyData[[#This Row],[ClaimFiled_Last5Yrs]]="Y",1,0)</f>
        <v>0</v>
      </c>
      <c r="M205" s="371">
        <f>IF(PolicyData[[#This Row],[Region]]="EAST",1,0)</f>
        <v>0</v>
      </c>
    </row>
    <row r="206" spans="1:13" ht="16" x14ac:dyDescent="0.2">
      <c r="A206" s="142" t="s">
        <v>496</v>
      </c>
      <c r="B206" s="143">
        <v>46225</v>
      </c>
      <c r="C206" s="142" t="s">
        <v>296</v>
      </c>
      <c r="D206" s="142">
        <v>2025</v>
      </c>
      <c r="E206" s="142">
        <v>49</v>
      </c>
      <c r="F206" s="144" t="s">
        <v>281</v>
      </c>
      <c r="G206" s="142" t="s">
        <v>85</v>
      </c>
      <c r="H206" s="145">
        <v>2350</v>
      </c>
      <c r="I206" s="142" t="s">
        <v>290</v>
      </c>
      <c r="J206" s="142" t="s">
        <v>291</v>
      </c>
      <c r="K206" s="142" t="s">
        <v>291</v>
      </c>
      <c r="L206" s="371">
        <f>IF(PolicyData[[#This Row],[ClaimFiled_Last5Yrs]]="Y",1,0)</f>
        <v>0</v>
      </c>
      <c r="M206" s="371">
        <f>IF(PolicyData[[#This Row],[Region]]="EAST",1,0)</f>
        <v>0</v>
      </c>
    </row>
    <row r="207" spans="1:13" ht="16" x14ac:dyDescent="0.2">
      <c r="A207" s="142" t="s">
        <v>497</v>
      </c>
      <c r="B207" s="143">
        <v>46028</v>
      </c>
      <c r="C207" s="142" t="s">
        <v>297</v>
      </c>
      <c r="D207" s="142">
        <v>2019</v>
      </c>
      <c r="E207" s="142">
        <v>70</v>
      </c>
      <c r="F207" s="144" t="s">
        <v>283</v>
      </c>
      <c r="G207" s="142" t="s">
        <v>87</v>
      </c>
      <c r="H207" s="146">
        <v>790</v>
      </c>
      <c r="I207" s="142" t="s">
        <v>290</v>
      </c>
      <c r="J207" s="142" t="s">
        <v>291</v>
      </c>
      <c r="K207" s="142" t="s">
        <v>290</v>
      </c>
      <c r="L207" s="371">
        <f>IF(PolicyData[[#This Row],[ClaimFiled_Last5Yrs]]="Y",1,0)</f>
        <v>0</v>
      </c>
      <c r="M207" s="371">
        <f>IF(PolicyData[[#This Row],[Region]]="EAST",1,0)</f>
        <v>1</v>
      </c>
    </row>
    <row r="208" spans="1:13" ht="16" x14ac:dyDescent="0.2">
      <c r="A208" s="142" t="s">
        <v>498</v>
      </c>
      <c r="B208" s="143">
        <v>46288</v>
      </c>
      <c r="C208" s="142" t="s">
        <v>298</v>
      </c>
      <c r="D208" s="142">
        <v>2026</v>
      </c>
      <c r="E208" s="142">
        <v>34</v>
      </c>
      <c r="F208" s="144" t="s">
        <v>282</v>
      </c>
      <c r="G208" s="142" t="s">
        <v>85</v>
      </c>
      <c r="H208" s="146">
        <v>2200</v>
      </c>
      <c r="I208" s="142" t="s">
        <v>291</v>
      </c>
      <c r="J208" s="142" t="s">
        <v>290</v>
      </c>
      <c r="K208" s="142" t="s">
        <v>290</v>
      </c>
      <c r="L208" s="371">
        <f>IF(PolicyData[[#This Row],[ClaimFiled_Last5Yrs]]="Y",1,0)</f>
        <v>1</v>
      </c>
      <c r="M208" s="371">
        <f>IF(PolicyData[[#This Row],[Region]]="EAST",1,0)</f>
        <v>0</v>
      </c>
    </row>
    <row r="209" spans="1:13" ht="16" x14ac:dyDescent="0.2">
      <c r="A209" s="142" t="s">
        <v>499</v>
      </c>
      <c r="B209" s="143">
        <v>46307</v>
      </c>
      <c r="C209" s="142" t="s">
        <v>299</v>
      </c>
      <c r="D209" s="142">
        <v>2026</v>
      </c>
      <c r="E209" s="142">
        <v>61</v>
      </c>
      <c r="F209" s="144" t="s">
        <v>294</v>
      </c>
      <c r="G209" s="142" t="s">
        <v>85</v>
      </c>
      <c r="H209" s="145">
        <v>1950</v>
      </c>
      <c r="I209" s="142" t="s">
        <v>290</v>
      </c>
      <c r="J209" s="142" t="s">
        <v>291</v>
      </c>
      <c r="K209" s="142" t="s">
        <v>290</v>
      </c>
      <c r="L209" s="371">
        <f>IF(PolicyData[[#This Row],[ClaimFiled_Last5Yrs]]="Y",1,0)</f>
        <v>0</v>
      </c>
      <c r="M209" s="371">
        <f>IF(PolicyData[[#This Row],[Region]]="EAST",1,0)</f>
        <v>0</v>
      </c>
    </row>
    <row r="210" spans="1:13" ht="16" x14ac:dyDescent="0.2">
      <c r="A210" s="142" t="s">
        <v>500</v>
      </c>
      <c r="B210" s="143">
        <v>46078</v>
      </c>
      <c r="C210" s="142" t="s">
        <v>300</v>
      </c>
      <c r="D210" s="142">
        <v>2024</v>
      </c>
      <c r="E210" s="142">
        <v>45</v>
      </c>
      <c r="F210" s="144" t="s">
        <v>281</v>
      </c>
      <c r="G210" s="142" t="s">
        <v>87</v>
      </c>
      <c r="H210" s="145">
        <v>1020</v>
      </c>
      <c r="I210" s="142" t="s">
        <v>291</v>
      </c>
      <c r="J210" s="142" t="s">
        <v>291</v>
      </c>
      <c r="K210" s="142" t="s">
        <v>290</v>
      </c>
      <c r="L210" s="371">
        <f>IF(PolicyData[[#This Row],[ClaimFiled_Last5Yrs]]="Y",1,0)</f>
        <v>1</v>
      </c>
      <c r="M210" s="371">
        <f>IF(PolicyData[[#This Row],[Region]]="EAST",1,0)</f>
        <v>0</v>
      </c>
    </row>
    <row r="211" spans="1:13" ht="16" x14ac:dyDescent="0.2">
      <c r="A211" s="142" t="s">
        <v>501</v>
      </c>
      <c r="B211" s="143">
        <v>46151</v>
      </c>
      <c r="C211" s="142" t="s">
        <v>301</v>
      </c>
      <c r="D211" s="142">
        <v>2026</v>
      </c>
      <c r="E211" s="142">
        <v>30</v>
      </c>
      <c r="F211" s="144" t="s">
        <v>283</v>
      </c>
      <c r="G211" s="142" t="s">
        <v>85</v>
      </c>
      <c r="H211" s="145">
        <v>2600</v>
      </c>
      <c r="I211" s="142" t="s">
        <v>290</v>
      </c>
      <c r="J211" s="142" t="s">
        <v>291</v>
      </c>
      <c r="K211" s="142" t="s">
        <v>290</v>
      </c>
      <c r="L211" s="371">
        <f>IF(PolicyData[[#This Row],[ClaimFiled_Last5Yrs]]="Y",1,0)</f>
        <v>0</v>
      </c>
      <c r="M211" s="371">
        <f>IF(PolicyData[[#This Row],[Region]]="EAST",1,0)</f>
        <v>1</v>
      </c>
    </row>
    <row r="212" spans="1:13" ht="16" x14ac:dyDescent="0.2">
      <c r="A212" s="142" t="s">
        <v>502</v>
      </c>
      <c r="B212" s="143">
        <v>46043</v>
      </c>
      <c r="C212" s="142" t="s">
        <v>289</v>
      </c>
      <c r="D212" s="142">
        <v>2020</v>
      </c>
      <c r="E212" s="142">
        <v>76</v>
      </c>
      <c r="F212" s="144" t="s">
        <v>294</v>
      </c>
      <c r="G212" s="142" t="s">
        <v>87</v>
      </c>
      <c r="H212" s="145">
        <v>670</v>
      </c>
      <c r="I212" s="142" t="s">
        <v>290</v>
      </c>
      <c r="J212" s="142" t="s">
        <v>291</v>
      </c>
      <c r="K212" s="142" t="s">
        <v>290</v>
      </c>
      <c r="L212" s="371">
        <f>IF(PolicyData[[#This Row],[ClaimFiled_Last5Yrs]]="Y",1,0)</f>
        <v>0</v>
      </c>
      <c r="M212" s="371">
        <f>IF(PolicyData[[#This Row],[Region]]="EAST",1,0)</f>
        <v>0</v>
      </c>
    </row>
    <row r="213" spans="1:13" ht="16" x14ac:dyDescent="0.2">
      <c r="A213" s="142" t="s">
        <v>503</v>
      </c>
      <c r="B213" s="143">
        <v>46235</v>
      </c>
      <c r="C213" s="142" t="s">
        <v>292</v>
      </c>
      <c r="D213" s="142">
        <v>2026</v>
      </c>
      <c r="E213" s="142">
        <v>37</v>
      </c>
      <c r="F213" s="144" t="s">
        <v>282</v>
      </c>
      <c r="G213" s="142" t="s">
        <v>85</v>
      </c>
      <c r="H213" s="146">
        <v>1830</v>
      </c>
      <c r="I213" s="142" t="s">
        <v>290</v>
      </c>
      <c r="J213" s="142" t="s">
        <v>291</v>
      </c>
      <c r="K213" s="142" t="s">
        <v>290</v>
      </c>
      <c r="L213" s="371">
        <f>IF(PolicyData[[#This Row],[ClaimFiled_Last5Yrs]]="Y",1,0)</f>
        <v>0</v>
      </c>
      <c r="M213" s="371">
        <f>IF(PolicyData[[#This Row],[Region]]="EAST",1,0)</f>
        <v>0</v>
      </c>
    </row>
    <row r="214" spans="1:13" ht="16" x14ac:dyDescent="0.2">
      <c r="A214" s="142" t="s">
        <v>504</v>
      </c>
      <c r="B214" s="143">
        <v>46284</v>
      </c>
      <c r="C214" s="142" t="s">
        <v>293</v>
      </c>
      <c r="D214" s="142">
        <v>2026</v>
      </c>
      <c r="E214" s="142">
        <v>51</v>
      </c>
      <c r="F214" s="144" t="s">
        <v>281</v>
      </c>
      <c r="G214" s="142" t="s">
        <v>90</v>
      </c>
      <c r="H214" s="145">
        <v>1400</v>
      </c>
      <c r="I214" s="142" t="s">
        <v>291</v>
      </c>
      <c r="J214" s="142" t="s">
        <v>291</v>
      </c>
      <c r="K214" s="142" t="s">
        <v>290</v>
      </c>
      <c r="L214" s="371">
        <f>IF(PolicyData[[#This Row],[ClaimFiled_Last5Yrs]]="Y",1,0)</f>
        <v>1</v>
      </c>
      <c r="M214" s="371">
        <f>IF(PolicyData[[#This Row],[Region]]="EAST",1,0)</f>
        <v>0</v>
      </c>
    </row>
    <row r="215" spans="1:13" ht="16" x14ac:dyDescent="0.2">
      <c r="A215" s="142" t="s">
        <v>505</v>
      </c>
      <c r="B215" s="143">
        <v>46317</v>
      </c>
      <c r="C215" s="142" t="s">
        <v>295</v>
      </c>
      <c r="D215" s="142">
        <v>2026</v>
      </c>
      <c r="E215" s="142">
        <v>23</v>
      </c>
      <c r="F215" s="144" t="s">
        <v>283</v>
      </c>
      <c r="G215" s="142" t="s">
        <v>85</v>
      </c>
      <c r="H215" s="145">
        <v>3050</v>
      </c>
      <c r="I215" s="142" t="s">
        <v>290</v>
      </c>
      <c r="J215" s="142" t="s">
        <v>290</v>
      </c>
      <c r="K215" s="142" t="s">
        <v>291</v>
      </c>
      <c r="L215" s="371">
        <f>IF(PolicyData[[#This Row],[ClaimFiled_Last5Yrs]]="Y",1,0)</f>
        <v>0</v>
      </c>
      <c r="M215" s="371">
        <f>IF(PolicyData[[#This Row],[Region]]="EAST",1,0)</f>
        <v>1</v>
      </c>
    </row>
    <row r="216" spans="1:13" ht="16" x14ac:dyDescent="0.2">
      <c r="A216" s="142" t="s">
        <v>506</v>
      </c>
      <c r="B216" s="143">
        <v>45972</v>
      </c>
      <c r="C216" s="142" t="s">
        <v>296</v>
      </c>
      <c r="D216" s="142">
        <v>2020</v>
      </c>
      <c r="E216" s="142">
        <v>68</v>
      </c>
      <c r="F216" s="144" t="s">
        <v>294</v>
      </c>
      <c r="G216" s="142" t="s">
        <v>87</v>
      </c>
      <c r="H216" s="146">
        <v>1180</v>
      </c>
      <c r="I216" s="142" t="s">
        <v>290</v>
      </c>
      <c r="J216" s="142" t="s">
        <v>291</v>
      </c>
      <c r="K216" s="142" t="s">
        <v>290</v>
      </c>
      <c r="L216" s="371">
        <f>IF(PolicyData[[#This Row],[ClaimFiled_Last5Yrs]]="Y",1,0)</f>
        <v>0</v>
      </c>
      <c r="M216" s="371">
        <f>IF(PolicyData[[#This Row],[Region]]="EAST",1,0)</f>
        <v>0</v>
      </c>
    </row>
    <row r="217" spans="1:13" ht="16" x14ac:dyDescent="0.2">
      <c r="A217" s="142" t="s">
        <v>507</v>
      </c>
      <c r="B217" s="143">
        <v>46200</v>
      </c>
      <c r="C217" s="142" t="s">
        <v>297</v>
      </c>
      <c r="D217" s="142">
        <v>2026</v>
      </c>
      <c r="E217" s="142">
        <v>39</v>
      </c>
      <c r="F217" s="144" t="s">
        <v>282</v>
      </c>
      <c r="G217" s="142" t="s">
        <v>85</v>
      </c>
      <c r="H217" s="146">
        <v>2250</v>
      </c>
      <c r="I217" s="142" t="s">
        <v>290</v>
      </c>
      <c r="J217" s="142" t="s">
        <v>291</v>
      </c>
      <c r="K217" s="142" t="s">
        <v>290</v>
      </c>
      <c r="L217" s="371">
        <f>IF(PolicyData[[#This Row],[ClaimFiled_Last5Yrs]]="Y",1,0)</f>
        <v>0</v>
      </c>
      <c r="M217" s="371">
        <f>IF(PolicyData[[#This Row],[Region]]="EAST",1,0)</f>
        <v>0</v>
      </c>
    </row>
    <row r="218" spans="1:13" ht="16" x14ac:dyDescent="0.2">
      <c r="A218" s="142" t="s">
        <v>508</v>
      </c>
      <c r="B218" s="143">
        <v>46217</v>
      </c>
      <c r="C218" s="142" t="s">
        <v>298</v>
      </c>
      <c r="D218" s="142">
        <v>2021</v>
      </c>
      <c r="E218" s="142">
        <v>82</v>
      </c>
      <c r="F218" s="144" t="s">
        <v>281</v>
      </c>
      <c r="G218" s="142" t="s">
        <v>87</v>
      </c>
      <c r="H218" s="146">
        <v>780</v>
      </c>
      <c r="I218" s="142" t="s">
        <v>290</v>
      </c>
      <c r="J218" s="142" t="s">
        <v>291</v>
      </c>
      <c r="K218" s="142" t="s">
        <v>290</v>
      </c>
      <c r="L218" s="371">
        <f>IF(PolicyData[[#This Row],[ClaimFiled_Last5Yrs]]="Y",1,0)</f>
        <v>0</v>
      </c>
      <c r="M218" s="371">
        <f>IF(PolicyData[[#This Row],[Region]]="EAST",1,0)</f>
        <v>0</v>
      </c>
    </row>
    <row r="219" spans="1:13" ht="16" x14ac:dyDescent="0.2">
      <c r="A219" s="142" t="s">
        <v>509</v>
      </c>
      <c r="B219" s="143">
        <v>46237</v>
      </c>
      <c r="C219" s="142" t="s">
        <v>299</v>
      </c>
      <c r="D219" s="142">
        <v>2026</v>
      </c>
      <c r="E219" s="142">
        <v>42</v>
      </c>
      <c r="F219" s="144" t="s">
        <v>283</v>
      </c>
      <c r="G219" s="142" t="s">
        <v>85</v>
      </c>
      <c r="H219" s="146">
        <v>2100</v>
      </c>
      <c r="I219" s="142" t="s">
        <v>291</v>
      </c>
      <c r="J219" s="142" t="s">
        <v>291</v>
      </c>
      <c r="K219" s="142" t="s">
        <v>290</v>
      </c>
      <c r="L219" s="371">
        <f>IF(PolicyData[[#This Row],[ClaimFiled_Last5Yrs]]="Y",1,0)</f>
        <v>1</v>
      </c>
      <c r="M219" s="371">
        <f>IF(PolicyData[[#This Row],[Region]]="EAST",1,0)</f>
        <v>1</v>
      </c>
    </row>
    <row r="220" spans="1:13" ht="16" x14ac:dyDescent="0.2">
      <c r="A220" s="142" t="s">
        <v>510</v>
      </c>
      <c r="B220" s="143">
        <v>46281</v>
      </c>
      <c r="C220" s="142" t="s">
        <v>300</v>
      </c>
      <c r="D220" s="142">
        <v>2026</v>
      </c>
      <c r="E220" s="142">
        <v>62</v>
      </c>
      <c r="F220" s="144" t="s">
        <v>294</v>
      </c>
      <c r="G220" s="142" t="s">
        <v>90</v>
      </c>
      <c r="H220" s="145">
        <v>1600</v>
      </c>
      <c r="I220" s="142" t="s">
        <v>290</v>
      </c>
      <c r="J220" s="142" t="s">
        <v>291</v>
      </c>
      <c r="K220" s="142" t="s">
        <v>290</v>
      </c>
      <c r="L220" s="371">
        <f>IF(PolicyData[[#This Row],[ClaimFiled_Last5Yrs]]="Y",1,0)</f>
        <v>0</v>
      </c>
      <c r="M220" s="371">
        <f>IF(PolicyData[[#This Row],[Region]]="EAST",1,0)</f>
        <v>0</v>
      </c>
    </row>
    <row r="221" spans="1:13" ht="16" x14ac:dyDescent="0.2">
      <c r="A221" s="142" t="s">
        <v>511</v>
      </c>
      <c r="B221" s="143">
        <v>46324</v>
      </c>
      <c r="C221" s="142" t="s">
        <v>301</v>
      </c>
      <c r="D221" s="142">
        <v>2026</v>
      </c>
      <c r="E221" s="142">
        <v>34</v>
      </c>
      <c r="F221" s="144" t="s">
        <v>282</v>
      </c>
      <c r="G221" s="142" t="s">
        <v>85</v>
      </c>
      <c r="H221" s="145">
        <v>2650</v>
      </c>
      <c r="I221" s="142" t="s">
        <v>291</v>
      </c>
      <c r="J221" s="142" t="s">
        <v>290</v>
      </c>
      <c r="K221" s="142" t="s">
        <v>290</v>
      </c>
      <c r="L221" s="371">
        <f>IF(PolicyData[[#This Row],[ClaimFiled_Last5Yrs]]="Y",1,0)</f>
        <v>1</v>
      </c>
      <c r="M221" s="371">
        <f>IF(PolicyData[[#This Row],[Region]]="EAST",1,0)</f>
        <v>0</v>
      </c>
    </row>
    <row r="222" spans="1:13" ht="16" x14ac:dyDescent="0.2">
      <c r="A222" s="142" t="s">
        <v>512</v>
      </c>
      <c r="B222" s="143">
        <v>46344</v>
      </c>
      <c r="C222" s="142" t="s">
        <v>289</v>
      </c>
      <c r="D222" s="142">
        <v>2025</v>
      </c>
      <c r="E222" s="142">
        <v>48</v>
      </c>
      <c r="F222" s="144" t="s">
        <v>281</v>
      </c>
      <c r="G222" s="142" t="s">
        <v>85</v>
      </c>
      <c r="H222" s="145">
        <v>1850</v>
      </c>
      <c r="I222" s="142" t="s">
        <v>290</v>
      </c>
      <c r="J222" s="142" t="s">
        <v>291</v>
      </c>
      <c r="K222" s="142" t="s">
        <v>290</v>
      </c>
      <c r="L222" s="371">
        <f>IF(PolicyData[[#This Row],[ClaimFiled_Last5Yrs]]="Y",1,0)</f>
        <v>0</v>
      </c>
      <c r="M222" s="371">
        <f>IF(PolicyData[[#This Row],[Region]]="EAST",1,0)</f>
        <v>0</v>
      </c>
    </row>
    <row r="223" spans="1:13" ht="16" x14ac:dyDescent="0.2">
      <c r="A223" s="142" t="s">
        <v>513</v>
      </c>
      <c r="B223" s="143">
        <v>45998</v>
      </c>
      <c r="C223" s="142" t="s">
        <v>292</v>
      </c>
      <c r="D223" s="142">
        <v>2022</v>
      </c>
      <c r="E223" s="142">
        <v>57</v>
      </c>
      <c r="F223" s="144" t="s">
        <v>283</v>
      </c>
      <c r="G223" s="142" t="s">
        <v>87</v>
      </c>
      <c r="H223" s="145">
        <v>930</v>
      </c>
      <c r="I223" s="142" t="s">
        <v>290</v>
      </c>
      <c r="J223" s="142" t="s">
        <v>291</v>
      </c>
      <c r="K223" s="142" t="s">
        <v>291</v>
      </c>
      <c r="L223" s="371">
        <f>IF(PolicyData[[#This Row],[ClaimFiled_Last5Yrs]]="Y",1,0)</f>
        <v>0</v>
      </c>
      <c r="M223" s="371">
        <f>IF(PolicyData[[#This Row],[Region]]="EAST",1,0)</f>
        <v>1</v>
      </c>
    </row>
    <row r="224" spans="1:13" ht="16" x14ac:dyDescent="0.2">
      <c r="A224" s="142" t="s">
        <v>514</v>
      </c>
      <c r="B224" s="143">
        <v>46046</v>
      </c>
      <c r="C224" s="142" t="s">
        <v>293</v>
      </c>
      <c r="D224" s="142">
        <v>2026</v>
      </c>
      <c r="E224" s="142">
        <v>27</v>
      </c>
      <c r="F224" s="144" t="s">
        <v>294</v>
      </c>
      <c r="G224" s="142" t="s">
        <v>85</v>
      </c>
      <c r="H224" s="145">
        <v>2800</v>
      </c>
      <c r="I224" s="142" t="s">
        <v>291</v>
      </c>
      <c r="J224" s="142" t="s">
        <v>290</v>
      </c>
      <c r="K224" s="142" t="s">
        <v>290</v>
      </c>
      <c r="L224" s="371">
        <f>IF(PolicyData[[#This Row],[ClaimFiled_Last5Yrs]]="Y",1,0)</f>
        <v>1</v>
      </c>
      <c r="M224" s="371">
        <f>IF(PolicyData[[#This Row],[Region]]="EAST",1,0)</f>
        <v>0</v>
      </c>
    </row>
    <row r="225" spans="1:13" ht="16" x14ac:dyDescent="0.2">
      <c r="A225" s="142" t="s">
        <v>515</v>
      </c>
      <c r="B225" s="143">
        <v>46072</v>
      </c>
      <c r="C225" s="142" t="s">
        <v>295</v>
      </c>
      <c r="D225" s="142">
        <v>2025</v>
      </c>
      <c r="E225" s="142">
        <v>69</v>
      </c>
      <c r="F225" s="144" t="s">
        <v>282</v>
      </c>
      <c r="G225" s="142" t="s">
        <v>90</v>
      </c>
      <c r="H225" s="146">
        <v>1090</v>
      </c>
      <c r="I225" s="142" t="s">
        <v>290</v>
      </c>
      <c r="J225" s="142" t="s">
        <v>291</v>
      </c>
      <c r="K225" s="142" t="s">
        <v>290</v>
      </c>
      <c r="L225" s="371">
        <f>IF(PolicyData[[#This Row],[ClaimFiled_Last5Yrs]]="Y",1,0)</f>
        <v>0</v>
      </c>
      <c r="M225" s="371">
        <f>IF(PolicyData[[#This Row],[Region]]="EAST",1,0)</f>
        <v>0</v>
      </c>
    </row>
    <row r="226" spans="1:13" ht="16" x14ac:dyDescent="0.2">
      <c r="A226" s="142" t="s">
        <v>516</v>
      </c>
      <c r="B226" s="143">
        <v>46112</v>
      </c>
      <c r="C226" s="142" t="s">
        <v>296</v>
      </c>
      <c r="D226" s="142">
        <v>2025</v>
      </c>
      <c r="E226" s="142">
        <v>50</v>
      </c>
      <c r="F226" s="144" t="s">
        <v>281</v>
      </c>
      <c r="G226" s="142" t="s">
        <v>85</v>
      </c>
      <c r="H226" s="145">
        <v>2400</v>
      </c>
      <c r="I226" s="142" t="s">
        <v>290</v>
      </c>
      <c r="J226" s="142" t="s">
        <v>291</v>
      </c>
      <c r="K226" s="142" t="s">
        <v>290</v>
      </c>
      <c r="L226" s="371">
        <f>IF(PolicyData[[#This Row],[ClaimFiled_Last5Yrs]]="Y",1,0)</f>
        <v>0</v>
      </c>
      <c r="M226" s="371">
        <f>IF(PolicyData[[#This Row],[Region]]="EAST",1,0)</f>
        <v>0</v>
      </c>
    </row>
    <row r="227" spans="1:13" ht="16" x14ac:dyDescent="0.2">
      <c r="A227" s="142" t="s">
        <v>517</v>
      </c>
      <c r="B227" s="143">
        <v>46135</v>
      </c>
      <c r="C227" s="142" t="s">
        <v>297</v>
      </c>
      <c r="D227" s="142">
        <v>2020</v>
      </c>
      <c r="E227" s="142">
        <v>71</v>
      </c>
      <c r="F227" s="144" t="s">
        <v>283</v>
      </c>
      <c r="G227" s="142" t="s">
        <v>87</v>
      </c>
      <c r="H227" s="145">
        <v>810</v>
      </c>
      <c r="I227" s="142" t="s">
        <v>290</v>
      </c>
      <c r="J227" s="142" t="s">
        <v>291</v>
      </c>
      <c r="K227" s="142" t="s">
        <v>290</v>
      </c>
      <c r="L227" s="371">
        <f>IF(PolicyData[[#This Row],[ClaimFiled_Last5Yrs]]="Y",1,0)</f>
        <v>0</v>
      </c>
      <c r="M227" s="371">
        <f>IF(PolicyData[[#This Row],[Region]]="EAST",1,0)</f>
        <v>1</v>
      </c>
    </row>
    <row r="228" spans="1:13" ht="16" x14ac:dyDescent="0.2">
      <c r="A228" s="142" t="s">
        <v>518</v>
      </c>
      <c r="B228" s="143">
        <v>46144</v>
      </c>
      <c r="C228" s="142" t="s">
        <v>298</v>
      </c>
      <c r="D228" s="142">
        <v>2026</v>
      </c>
      <c r="E228" s="142">
        <v>35</v>
      </c>
      <c r="F228" s="144" t="s">
        <v>282</v>
      </c>
      <c r="G228" s="142" t="s">
        <v>85</v>
      </c>
      <c r="H228" s="146">
        <v>2300</v>
      </c>
      <c r="I228" s="142" t="s">
        <v>291</v>
      </c>
      <c r="J228" s="142" t="s">
        <v>290</v>
      </c>
      <c r="K228" s="142" t="s">
        <v>290</v>
      </c>
      <c r="L228" s="371">
        <f>IF(PolicyData[[#This Row],[ClaimFiled_Last5Yrs]]="Y",1,0)</f>
        <v>1</v>
      </c>
      <c r="M228" s="371">
        <f>IF(PolicyData[[#This Row],[Region]]="EAST",1,0)</f>
        <v>0</v>
      </c>
    </row>
    <row r="229" spans="1:13" ht="16" x14ac:dyDescent="0.2">
      <c r="A229" s="142" t="s">
        <v>519</v>
      </c>
      <c r="B229" s="143">
        <v>46191</v>
      </c>
      <c r="C229" s="142" t="s">
        <v>299</v>
      </c>
      <c r="D229" s="142">
        <v>2026</v>
      </c>
      <c r="E229" s="142">
        <v>63</v>
      </c>
      <c r="F229" s="144" t="s">
        <v>294</v>
      </c>
      <c r="G229" s="142" t="s">
        <v>85</v>
      </c>
      <c r="H229" s="145">
        <v>2000</v>
      </c>
      <c r="I229" s="142" t="s">
        <v>290</v>
      </c>
      <c r="J229" s="142" t="s">
        <v>291</v>
      </c>
      <c r="K229" s="142" t="s">
        <v>290</v>
      </c>
      <c r="L229" s="371">
        <f>IF(PolicyData[[#This Row],[ClaimFiled_Last5Yrs]]="Y",1,0)</f>
        <v>0</v>
      </c>
      <c r="M229" s="371">
        <f>IF(PolicyData[[#This Row],[Region]]="EAST",1,0)</f>
        <v>0</v>
      </c>
    </row>
    <row r="230" spans="1:13" ht="16" x14ac:dyDescent="0.2">
      <c r="A230" s="142" t="s">
        <v>520</v>
      </c>
      <c r="B230" s="143">
        <v>46234</v>
      </c>
      <c r="C230" s="142" t="s">
        <v>300</v>
      </c>
      <c r="D230" s="142">
        <v>2025</v>
      </c>
      <c r="E230" s="142">
        <v>46</v>
      </c>
      <c r="F230" s="144" t="s">
        <v>281</v>
      </c>
      <c r="G230" s="142" t="s">
        <v>87</v>
      </c>
      <c r="H230" s="145">
        <v>1050</v>
      </c>
      <c r="I230" s="142" t="s">
        <v>290</v>
      </c>
      <c r="J230" s="142" t="s">
        <v>291</v>
      </c>
      <c r="K230" s="142" t="s">
        <v>290</v>
      </c>
      <c r="L230" s="371">
        <f>IF(PolicyData[[#This Row],[ClaimFiled_Last5Yrs]]="Y",1,0)</f>
        <v>0</v>
      </c>
      <c r="M230" s="371">
        <f>IF(PolicyData[[#This Row],[Region]]="EAST",1,0)</f>
        <v>0</v>
      </c>
    </row>
    <row r="231" spans="1:13" ht="16" x14ac:dyDescent="0.2">
      <c r="A231" s="142" t="s">
        <v>521</v>
      </c>
      <c r="B231" s="143">
        <v>46243</v>
      </c>
      <c r="C231" s="142" t="s">
        <v>301</v>
      </c>
      <c r="D231" s="142">
        <v>2026</v>
      </c>
      <c r="E231" s="142">
        <v>31</v>
      </c>
      <c r="F231" s="144" t="s">
        <v>283</v>
      </c>
      <c r="G231" s="142" t="s">
        <v>85</v>
      </c>
      <c r="H231" s="145">
        <v>2700</v>
      </c>
      <c r="I231" s="142" t="s">
        <v>291</v>
      </c>
      <c r="J231" s="142" t="s">
        <v>291</v>
      </c>
      <c r="K231" s="142" t="s">
        <v>291</v>
      </c>
      <c r="L231" s="371">
        <f>IF(PolicyData[[#This Row],[ClaimFiled_Last5Yrs]]="Y",1,0)</f>
        <v>1</v>
      </c>
      <c r="M231" s="371">
        <f>IF(PolicyData[[#This Row],[Region]]="EAST",1,0)</f>
        <v>1</v>
      </c>
    </row>
    <row r="232" spans="1:13" ht="16" x14ac:dyDescent="0.2">
      <c r="A232" s="142" t="s">
        <v>522</v>
      </c>
      <c r="B232" s="143">
        <v>46286</v>
      </c>
      <c r="C232" s="142" t="s">
        <v>289</v>
      </c>
      <c r="D232" s="142">
        <v>2021</v>
      </c>
      <c r="E232" s="142">
        <v>77</v>
      </c>
      <c r="F232" s="144" t="s">
        <v>294</v>
      </c>
      <c r="G232" s="142" t="s">
        <v>87</v>
      </c>
      <c r="H232" s="145">
        <v>700</v>
      </c>
      <c r="I232" s="142" t="s">
        <v>290</v>
      </c>
      <c r="J232" s="142" t="s">
        <v>291</v>
      </c>
      <c r="K232" s="142" t="s">
        <v>290</v>
      </c>
      <c r="L232" s="371">
        <f>IF(PolicyData[[#This Row],[ClaimFiled_Last5Yrs]]="Y",1,0)</f>
        <v>0</v>
      </c>
      <c r="M232" s="371">
        <f>IF(PolicyData[[#This Row],[Region]]="EAST",1,0)</f>
        <v>0</v>
      </c>
    </row>
    <row r="233" spans="1:13" ht="16" x14ac:dyDescent="0.2">
      <c r="A233" s="142" t="s">
        <v>523</v>
      </c>
      <c r="B233" s="143">
        <v>46297</v>
      </c>
      <c r="C233" s="142" t="s">
        <v>292</v>
      </c>
      <c r="D233" s="142">
        <v>2026</v>
      </c>
      <c r="E233" s="142">
        <v>38</v>
      </c>
      <c r="F233" s="144" t="s">
        <v>282</v>
      </c>
      <c r="G233" s="142" t="s">
        <v>85</v>
      </c>
      <c r="H233" s="145">
        <v>1880</v>
      </c>
      <c r="I233" s="142" t="s">
        <v>290</v>
      </c>
      <c r="J233" s="142" t="s">
        <v>291</v>
      </c>
      <c r="K233" s="142" t="s">
        <v>290</v>
      </c>
      <c r="L233" s="371">
        <f>IF(PolicyData[[#This Row],[ClaimFiled_Last5Yrs]]="Y",1,0)</f>
        <v>0</v>
      </c>
      <c r="M233" s="371">
        <f>IF(PolicyData[[#This Row],[Region]]="EAST",1,0)</f>
        <v>0</v>
      </c>
    </row>
    <row r="234" spans="1:13" ht="16" x14ac:dyDescent="0.2">
      <c r="A234" s="142" t="s">
        <v>524</v>
      </c>
      <c r="B234" s="143">
        <v>45969</v>
      </c>
      <c r="C234" s="142" t="s">
        <v>293</v>
      </c>
      <c r="D234" s="142">
        <v>2026</v>
      </c>
      <c r="E234" s="142">
        <v>52</v>
      </c>
      <c r="F234" s="144" t="s">
        <v>281</v>
      </c>
      <c r="G234" s="142" t="s">
        <v>90</v>
      </c>
      <c r="H234" s="146">
        <v>1450</v>
      </c>
      <c r="I234" s="142" t="s">
        <v>291</v>
      </c>
      <c r="J234" s="142" t="s">
        <v>291</v>
      </c>
      <c r="K234" s="142" t="s">
        <v>290</v>
      </c>
      <c r="L234" s="371">
        <f>IF(PolicyData[[#This Row],[ClaimFiled_Last5Yrs]]="Y",1,0)</f>
        <v>1</v>
      </c>
      <c r="M234" s="371">
        <f>IF(PolicyData[[#This Row],[Region]]="EAST",1,0)</f>
        <v>0</v>
      </c>
    </row>
    <row r="235" spans="1:13" ht="16" x14ac:dyDescent="0.2">
      <c r="A235" s="142" t="s">
        <v>525</v>
      </c>
      <c r="B235" s="143">
        <v>46379</v>
      </c>
      <c r="C235" s="142" t="s">
        <v>295</v>
      </c>
      <c r="D235" s="142">
        <v>2026</v>
      </c>
      <c r="E235" s="142">
        <v>25</v>
      </c>
      <c r="F235" s="144" t="s">
        <v>283</v>
      </c>
      <c r="G235" s="142" t="s">
        <v>85</v>
      </c>
      <c r="H235" s="146">
        <v>3100</v>
      </c>
      <c r="I235" s="142" t="s">
        <v>290</v>
      </c>
      <c r="J235" s="142" t="s">
        <v>290</v>
      </c>
      <c r="K235" s="142" t="s">
        <v>291</v>
      </c>
      <c r="L235" s="371">
        <f>IF(PolicyData[[#This Row],[ClaimFiled_Last5Yrs]]="Y",1,0)</f>
        <v>0</v>
      </c>
      <c r="M235" s="371">
        <f>IF(PolicyData[[#This Row],[Region]]="EAST",1,0)</f>
        <v>1</v>
      </c>
    </row>
    <row r="236" spans="1:13" ht="16" x14ac:dyDescent="0.2">
      <c r="A236" s="142" t="s">
        <v>526</v>
      </c>
      <c r="B236" s="143">
        <v>46034</v>
      </c>
      <c r="C236" s="142" t="s">
        <v>296</v>
      </c>
      <c r="D236" s="142">
        <v>2021</v>
      </c>
      <c r="E236" s="142">
        <v>70</v>
      </c>
      <c r="F236" s="144" t="s">
        <v>294</v>
      </c>
      <c r="G236" s="142" t="s">
        <v>87</v>
      </c>
      <c r="H236" s="145">
        <v>1210</v>
      </c>
      <c r="I236" s="142" t="s">
        <v>290</v>
      </c>
      <c r="J236" s="142" t="s">
        <v>291</v>
      </c>
      <c r="K236" s="142" t="s">
        <v>290</v>
      </c>
      <c r="L236" s="371">
        <f>IF(PolicyData[[#This Row],[ClaimFiled_Last5Yrs]]="Y",1,0)</f>
        <v>0</v>
      </c>
      <c r="M236" s="371">
        <f>IF(PolicyData[[#This Row],[Region]]="EAST",1,0)</f>
        <v>0</v>
      </c>
    </row>
    <row r="237" spans="1:13" ht="16" x14ac:dyDescent="0.2">
      <c r="A237" s="142" t="s">
        <v>527</v>
      </c>
      <c r="B237" s="143">
        <v>46080</v>
      </c>
      <c r="C237" s="142" t="s">
        <v>297</v>
      </c>
      <c r="D237" s="142">
        <v>2026</v>
      </c>
      <c r="E237" s="142">
        <v>40</v>
      </c>
      <c r="F237" s="144" t="s">
        <v>282</v>
      </c>
      <c r="G237" s="142" t="s">
        <v>85</v>
      </c>
      <c r="H237" s="146">
        <v>2300</v>
      </c>
      <c r="I237" s="142" t="s">
        <v>290</v>
      </c>
      <c r="J237" s="142" t="s">
        <v>291</v>
      </c>
      <c r="K237" s="142" t="s">
        <v>290</v>
      </c>
      <c r="L237" s="371">
        <f>IF(PolicyData[[#This Row],[ClaimFiled_Last5Yrs]]="Y",1,0)</f>
        <v>0</v>
      </c>
      <c r="M237" s="371">
        <f>IF(PolicyData[[#This Row],[Region]]="EAST",1,0)</f>
        <v>0</v>
      </c>
    </row>
    <row r="238" spans="1:13" ht="16" x14ac:dyDescent="0.2">
      <c r="A238" s="142" t="s">
        <v>528</v>
      </c>
      <c r="B238" s="143">
        <v>46096</v>
      </c>
      <c r="C238" s="142" t="s">
        <v>298</v>
      </c>
      <c r="D238" s="142">
        <v>2022</v>
      </c>
      <c r="E238" s="142">
        <v>83</v>
      </c>
      <c r="F238" s="144" t="s">
        <v>281</v>
      </c>
      <c r="G238" s="142" t="s">
        <v>87</v>
      </c>
      <c r="H238" s="146">
        <v>810</v>
      </c>
      <c r="I238" s="142" t="s">
        <v>290</v>
      </c>
      <c r="J238" s="142" t="s">
        <v>291</v>
      </c>
      <c r="K238" s="142" t="s">
        <v>290</v>
      </c>
      <c r="L238" s="371">
        <f>IF(PolicyData[[#This Row],[ClaimFiled_Last5Yrs]]="Y",1,0)</f>
        <v>0</v>
      </c>
      <c r="M238" s="371">
        <f>IF(PolicyData[[#This Row],[Region]]="EAST",1,0)</f>
        <v>0</v>
      </c>
    </row>
    <row r="239" spans="1:13" ht="16" x14ac:dyDescent="0.2">
      <c r="A239" s="142" t="s">
        <v>529</v>
      </c>
      <c r="B239" s="143">
        <v>46136</v>
      </c>
      <c r="C239" s="142" t="s">
        <v>299</v>
      </c>
      <c r="D239" s="142">
        <v>2026</v>
      </c>
      <c r="E239" s="142">
        <v>43</v>
      </c>
      <c r="F239" s="144" t="s">
        <v>283</v>
      </c>
      <c r="G239" s="142" t="s">
        <v>85</v>
      </c>
      <c r="H239" s="146">
        <v>2150</v>
      </c>
      <c r="I239" s="142" t="s">
        <v>291</v>
      </c>
      <c r="J239" s="142" t="s">
        <v>291</v>
      </c>
      <c r="K239" s="142" t="s">
        <v>290</v>
      </c>
      <c r="L239" s="371">
        <f>IF(PolicyData[[#This Row],[ClaimFiled_Last5Yrs]]="Y",1,0)</f>
        <v>1</v>
      </c>
      <c r="M239" s="371">
        <f>IF(PolicyData[[#This Row],[Region]]="EAST",1,0)</f>
        <v>1</v>
      </c>
    </row>
    <row r="240" spans="1:13" ht="16" x14ac:dyDescent="0.2">
      <c r="A240" s="142" t="s">
        <v>530</v>
      </c>
      <c r="B240" s="143">
        <v>46152</v>
      </c>
      <c r="C240" s="142" t="s">
        <v>300</v>
      </c>
      <c r="D240" s="142">
        <v>2026</v>
      </c>
      <c r="E240" s="142">
        <v>64</v>
      </c>
      <c r="F240" s="144" t="s">
        <v>294</v>
      </c>
      <c r="G240" s="142" t="s">
        <v>90</v>
      </c>
      <c r="H240" s="146">
        <v>1650</v>
      </c>
      <c r="I240" s="142" t="s">
        <v>290</v>
      </c>
      <c r="J240" s="142" t="s">
        <v>291</v>
      </c>
      <c r="K240" s="142" t="s">
        <v>290</v>
      </c>
      <c r="L240" s="371">
        <f>IF(PolicyData[[#This Row],[ClaimFiled_Last5Yrs]]="Y",1,0)</f>
        <v>0</v>
      </c>
      <c r="M240" s="371">
        <f>IF(PolicyData[[#This Row],[Region]]="EAST",1,0)</f>
        <v>0</v>
      </c>
    </row>
    <row r="241" spans="1:13" ht="16" x14ac:dyDescent="0.2">
      <c r="A241" s="142" t="s">
        <v>531</v>
      </c>
      <c r="B241" s="143">
        <v>46175</v>
      </c>
      <c r="C241" s="142" t="s">
        <v>301</v>
      </c>
      <c r="D241" s="142">
        <v>2026</v>
      </c>
      <c r="E241" s="142">
        <v>35</v>
      </c>
      <c r="F241" s="144" t="s">
        <v>282</v>
      </c>
      <c r="G241" s="142" t="s">
        <v>85</v>
      </c>
      <c r="H241" s="146">
        <v>2700</v>
      </c>
      <c r="I241" s="142" t="s">
        <v>291</v>
      </c>
      <c r="J241" s="142" t="s">
        <v>290</v>
      </c>
      <c r="K241" s="142" t="s">
        <v>290</v>
      </c>
      <c r="L241" s="371">
        <f>IF(PolicyData[[#This Row],[ClaimFiled_Last5Yrs]]="Y",1,0)</f>
        <v>1</v>
      </c>
      <c r="M241" s="371">
        <f>IF(PolicyData[[#This Row],[Region]]="EAST",1,0)</f>
        <v>0</v>
      </c>
    </row>
    <row r="242" spans="1:13" ht="16" x14ac:dyDescent="0.2">
      <c r="A242" s="142" t="s">
        <v>532</v>
      </c>
      <c r="B242" s="143">
        <v>46222</v>
      </c>
      <c r="C242" s="142" t="s">
        <v>289</v>
      </c>
      <c r="D242" s="142">
        <v>2026</v>
      </c>
      <c r="E242" s="142">
        <v>49</v>
      </c>
      <c r="F242" s="144" t="s">
        <v>281</v>
      </c>
      <c r="G242" s="142" t="s">
        <v>85</v>
      </c>
      <c r="H242" s="145">
        <v>1900</v>
      </c>
      <c r="I242" s="142" t="s">
        <v>290</v>
      </c>
      <c r="J242" s="142" t="s">
        <v>291</v>
      </c>
      <c r="K242" s="142" t="s">
        <v>290</v>
      </c>
      <c r="L242" s="371">
        <f>IF(PolicyData[[#This Row],[ClaimFiled_Last5Yrs]]="Y",1,0)</f>
        <v>0</v>
      </c>
      <c r="M242" s="371">
        <f>IF(PolicyData[[#This Row],[Region]]="EAST",1,0)</f>
        <v>0</v>
      </c>
    </row>
    <row r="243" spans="1:13" ht="16" x14ac:dyDescent="0.2">
      <c r="A243" s="142" t="s">
        <v>533</v>
      </c>
      <c r="B243" s="143">
        <v>46239</v>
      </c>
      <c r="C243" s="142" t="s">
        <v>292</v>
      </c>
      <c r="D243" s="142">
        <v>2023</v>
      </c>
      <c r="E243" s="142">
        <v>58</v>
      </c>
      <c r="F243" s="144" t="s">
        <v>283</v>
      </c>
      <c r="G243" s="142" t="s">
        <v>87</v>
      </c>
      <c r="H243" s="146">
        <v>950</v>
      </c>
      <c r="I243" s="142" t="s">
        <v>291</v>
      </c>
      <c r="J243" s="142" t="s">
        <v>291</v>
      </c>
      <c r="K243" s="142" t="s">
        <v>290</v>
      </c>
      <c r="L243" s="371">
        <f>IF(PolicyData[[#This Row],[ClaimFiled_Last5Yrs]]="Y",1,0)</f>
        <v>1</v>
      </c>
      <c r="M243" s="371">
        <f>IF(PolicyData[[#This Row],[Region]]="EAST",1,0)</f>
        <v>1</v>
      </c>
    </row>
    <row r="244" spans="1:13" ht="16" x14ac:dyDescent="0.2">
      <c r="A244" s="142" t="s">
        <v>534</v>
      </c>
      <c r="B244" s="143">
        <v>46280</v>
      </c>
      <c r="C244" s="142" t="s">
        <v>293</v>
      </c>
      <c r="D244" s="142">
        <v>2026</v>
      </c>
      <c r="E244" s="142">
        <v>28</v>
      </c>
      <c r="F244" s="144" t="s">
        <v>294</v>
      </c>
      <c r="G244" s="142" t="s">
        <v>85</v>
      </c>
      <c r="H244" s="146">
        <v>2850</v>
      </c>
      <c r="I244" s="142" t="s">
        <v>290</v>
      </c>
      <c r="J244" s="142" t="s">
        <v>290</v>
      </c>
      <c r="K244" s="142" t="s">
        <v>291</v>
      </c>
      <c r="L244" s="371">
        <f>IF(PolicyData[[#This Row],[ClaimFiled_Last5Yrs]]="Y",1,0)</f>
        <v>0</v>
      </c>
      <c r="M244" s="371">
        <f>IF(PolicyData[[#This Row],[Region]]="EAST",1,0)</f>
        <v>0</v>
      </c>
    </row>
    <row r="245" spans="1:13" ht="16" x14ac:dyDescent="0.2">
      <c r="A245" s="142" t="s">
        <v>535</v>
      </c>
      <c r="B245" s="143">
        <v>46322</v>
      </c>
      <c r="C245" s="142" t="s">
        <v>295</v>
      </c>
      <c r="D245" s="142">
        <v>2026</v>
      </c>
      <c r="E245" s="142">
        <v>71</v>
      </c>
      <c r="F245" s="144" t="s">
        <v>282</v>
      </c>
      <c r="G245" s="142" t="s">
        <v>90</v>
      </c>
      <c r="H245" s="145">
        <v>1110</v>
      </c>
      <c r="I245" s="142" t="s">
        <v>290</v>
      </c>
      <c r="J245" s="142" t="s">
        <v>291</v>
      </c>
      <c r="K245" s="142" t="s">
        <v>290</v>
      </c>
      <c r="L245" s="371">
        <f>IF(PolicyData[[#This Row],[ClaimFiled_Last5Yrs]]="Y",1,0)</f>
        <v>0</v>
      </c>
      <c r="M245" s="371">
        <f>IF(PolicyData[[#This Row],[Region]]="EAST",1,0)</f>
        <v>0</v>
      </c>
    </row>
    <row r="246" spans="1:13" ht="16" x14ac:dyDescent="0.2">
      <c r="A246" s="142" t="s">
        <v>536</v>
      </c>
      <c r="B246" s="143">
        <v>46339</v>
      </c>
      <c r="C246" s="142" t="s">
        <v>296</v>
      </c>
      <c r="D246" s="142">
        <v>2025</v>
      </c>
      <c r="E246" s="142">
        <v>51</v>
      </c>
      <c r="F246" s="144" t="s">
        <v>281</v>
      </c>
      <c r="G246" s="142" t="s">
        <v>85</v>
      </c>
      <c r="H246" s="146">
        <v>2450</v>
      </c>
      <c r="I246" s="142" t="s">
        <v>291</v>
      </c>
      <c r="J246" s="142" t="s">
        <v>291</v>
      </c>
      <c r="K246" s="142" t="s">
        <v>290</v>
      </c>
      <c r="L246" s="371">
        <f>IF(PolicyData[[#This Row],[ClaimFiled_Last5Yrs]]="Y",1,0)</f>
        <v>1</v>
      </c>
      <c r="M246" s="371">
        <f>IF(PolicyData[[#This Row],[Region]]="EAST",1,0)</f>
        <v>0</v>
      </c>
    </row>
    <row r="247" spans="1:13" ht="16" x14ac:dyDescent="0.2">
      <c r="A247" s="142" t="s">
        <v>537</v>
      </c>
      <c r="B247" s="143">
        <v>45997</v>
      </c>
      <c r="C247" s="142" t="s">
        <v>297</v>
      </c>
      <c r="D247" s="142">
        <v>2021</v>
      </c>
      <c r="E247" s="142">
        <v>72</v>
      </c>
      <c r="F247" s="144" t="s">
        <v>283</v>
      </c>
      <c r="G247" s="142" t="s">
        <v>87</v>
      </c>
      <c r="H247" s="145">
        <v>830</v>
      </c>
      <c r="I247" s="142" t="s">
        <v>290</v>
      </c>
      <c r="J247" s="142" t="s">
        <v>291</v>
      </c>
      <c r="K247" s="142" t="s">
        <v>290</v>
      </c>
      <c r="L247" s="371">
        <f>IF(PolicyData[[#This Row],[ClaimFiled_Last5Yrs]]="Y",1,0)</f>
        <v>0</v>
      </c>
      <c r="M247" s="371">
        <f>IF(PolicyData[[#This Row],[Region]]="EAST",1,0)</f>
        <v>1</v>
      </c>
    </row>
    <row r="248" spans="1:13" ht="16" x14ac:dyDescent="0.2">
      <c r="A248" s="142" t="s">
        <v>538</v>
      </c>
      <c r="B248" s="143">
        <v>46031</v>
      </c>
      <c r="C248" s="142" t="s">
        <v>298</v>
      </c>
      <c r="D248" s="142">
        <v>2026</v>
      </c>
      <c r="E248" s="142">
        <v>36</v>
      </c>
      <c r="F248" s="144" t="s">
        <v>282</v>
      </c>
      <c r="G248" s="142" t="s">
        <v>85</v>
      </c>
      <c r="H248" s="146">
        <v>2350</v>
      </c>
      <c r="I248" s="142" t="s">
        <v>290</v>
      </c>
      <c r="J248" s="142" t="s">
        <v>290</v>
      </c>
      <c r="K248" s="142" t="s">
        <v>290</v>
      </c>
      <c r="L248" s="371">
        <f>IF(PolicyData[[#This Row],[ClaimFiled_Last5Yrs]]="Y",1,0)</f>
        <v>0</v>
      </c>
      <c r="M248" s="371">
        <f>IF(PolicyData[[#This Row],[Region]]="EAST",1,0)</f>
        <v>0</v>
      </c>
    </row>
    <row r="249" spans="1:13" ht="16" x14ac:dyDescent="0.2">
      <c r="A249" s="142" t="s">
        <v>539</v>
      </c>
      <c r="B249" s="143">
        <v>46075</v>
      </c>
      <c r="C249" s="142" t="s">
        <v>299</v>
      </c>
      <c r="D249" s="142">
        <v>2026</v>
      </c>
      <c r="E249" s="142">
        <v>65</v>
      </c>
      <c r="F249" s="144" t="s">
        <v>294</v>
      </c>
      <c r="G249" s="142" t="s">
        <v>85</v>
      </c>
      <c r="H249" s="145">
        <v>2050</v>
      </c>
      <c r="I249" s="142" t="s">
        <v>290</v>
      </c>
      <c r="J249" s="142" t="s">
        <v>291</v>
      </c>
      <c r="K249" s="142" t="s">
        <v>290</v>
      </c>
      <c r="L249" s="371">
        <f>IF(PolicyData[[#This Row],[ClaimFiled_Last5Yrs]]="Y",1,0)</f>
        <v>0</v>
      </c>
      <c r="M249" s="371">
        <f>IF(PolicyData[[#This Row],[Region]]="EAST",1,0)</f>
        <v>0</v>
      </c>
    </row>
    <row r="250" spans="1:13" ht="16" x14ac:dyDescent="0.2">
      <c r="A250" s="142" t="s">
        <v>540</v>
      </c>
      <c r="B250" s="143">
        <v>46095</v>
      </c>
      <c r="C250" s="142" t="s">
        <v>300</v>
      </c>
      <c r="D250" s="142">
        <v>2026</v>
      </c>
      <c r="E250" s="142">
        <v>47</v>
      </c>
      <c r="F250" s="144" t="s">
        <v>281</v>
      </c>
      <c r="G250" s="142" t="s">
        <v>87</v>
      </c>
      <c r="H250" s="146">
        <v>1080</v>
      </c>
      <c r="I250" s="142" t="s">
        <v>291</v>
      </c>
      <c r="J250" s="142" t="s">
        <v>291</v>
      </c>
      <c r="K250" s="142" t="s">
        <v>291</v>
      </c>
      <c r="L250" s="371">
        <f>IF(PolicyData[[#This Row],[ClaimFiled_Last5Yrs]]="Y",1,0)</f>
        <v>1</v>
      </c>
      <c r="M250" s="371">
        <f>IF(PolicyData[[#This Row],[Region]]="EAST",1,0)</f>
        <v>0</v>
      </c>
    </row>
    <row r="251" spans="1:13" ht="16" x14ac:dyDescent="0.2">
      <c r="A251" s="142" t="s">
        <v>541</v>
      </c>
      <c r="B251" s="143">
        <v>46141</v>
      </c>
      <c r="C251" s="142" t="s">
        <v>301</v>
      </c>
      <c r="D251" s="142">
        <v>2026</v>
      </c>
      <c r="E251" s="142">
        <v>32</v>
      </c>
      <c r="F251" s="144" t="s">
        <v>283</v>
      </c>
      <c r="G251" s="142" t="s">
        <v>85</v>
      </c>
      <c r="H251" s="146">
        <v>2750</v>
      </c>
      <c r="I251" s="142" t="s">
        <v>290</v>
      </c>
      <c r="J251" s="142" t="s">
        <v>291</v>
      </c>
      <c r="K251" s="142" t="s">
        <v>290</v>
      </c>
      <c r="L251" s="371">
        <f>IF(PolicyData[[#This Row],[ClaimFiled_Last5Yrs]]="Y",1,0)</f>
        <v>0</v>
      </c>
      <c r="M251" s="371">
        <f>IF(PolicyData[[#This Row],[Region]]="EAST",1,0)</f>
        <v>1</v>
      </c>
    </row>
    <row r="252" spans="1:13" ht="16" x14ac:dyDescent="0.2">
      <c r="A252" s="142" t="s">
        <v>542</v>
      </c>
      <c r="B252" s="143">
        <v>46163</v>
      </c>
      <c r="C252" s="142" t="s">
        <v>289</v>
      </c>
      <c r="D252" s="142">
        <v>2022</v>
      </c>
      <c r="E252" s="142">
        <v>78</v>
      </c>
      <c r="F252" s="144" t="s">
        <v>294</v>
      </c>
      <c r="G252" s="142" t="s">
        <v>87</v>
      </c>
      <c r="H252" s="145">
        <v>730</v>
      </c>
      <c r="I252" s="142" t="s">
        <v>290</v>
      </c>
      <c r="J252" s="142" t="s">
        <v>291</v>
      </c>
      <c r="K252" s="142" t="s">
        <v>290</v>
      </c>
      <c r="L252" s="371">
        <f>IF(PolicyData[[#This Row],[ClaimFiled_Last5Yrs]]="Y",1,0)</f>
        <v>0</v>
      </c>
      <c r="M252" s="371">
        <f>IF(PolicyData[[#This Row],[Region]]="EAST",1,0)</f>
        <v>0</v>
      </c>
    </row>
    <row r="253" spans="1:13" ht="16" x14ac:dyDescent="0.2">
      <c r="A253" s="142" t="s">
        <v>543</v>
      </c>
      <c r="B253" s="143">
        <v>46179</v>
      </c>
      <c r="C253" s="142" t="s">
        <v>292</v>
      </c>
      <c r="D253" s="142">
        <v>2026</v>
      </c>
      <c r="E253" s="142">
        <v>39</v>
      </c>
      <c r="F253" s="144" t="s">
        <v>282</v>
      </c>
      <c r="G253" s="142" t="s">
        <v>85</v>
      </c>
      <c r="H253" s="146">
        <v>1930</v>
      </c>
      <c r="I253" s="142" t="s">
        <v>290</v>
      </c>
      <c r="J253" s="142" t="s">
        <v>291</v>
      </c>
      <c r="K253" s="142" t="s">
        <v>290</v>
      </c>
      <c r="L253" s="371">
        <f>IF(PolicyData[[#This Row],[ClaimFiled_Last5Yrs]]="Y",1,0)</f>
        <v>0</v>
      </c>
      <c r="M253" s="371">
        <f>IF(PolicyData[[#This Row],[Region]]="EAST",1,0)</f>
        <v>0</v>
      </c>
    </row>
    <row r="254" spans="1:13" ht="16" x14ac:dyDescent="0.2">
      <c r="A254" s="142" t="s">
        <v>544</v>
      </c>
      <c r="B254" s="143">
        <v>46221</v>
      </c>
      <c r="C254" s="142" t="s">
        <v>293</v>
      </c>
      <c r="D254" s="142">
        <v>2026</v>
      </c>
      <c r="E254" s="142">
        <v>53</v>
      </c>
      <c r="F254" s="144" t="s">
        <v>281</v>
      </c>
      <c r="G254" s="142" t="s">
        <v>90</v>
      </c>
      <c r="H254" s="145">
        <v>1500</v>
      </c>
      <c r="I254" s="142" t="s">
        <v>291</v>
      </c>
      <c r="J254" s="142" t="s">
        <v>291</v>
      </c>
      <c r="K254" s="142" t="s">
        <v>290</v>
      </c>
      <c r="L254" s="371">
        <f>IF(PolicyData[[#This Row],[ClaimFiled_Last5Yrs]]="Y",1,0)</f>
        <v>1</v>
      </c>
      <c r="M254" s="371">
        <f>IF(PolicyData[[#This Row],[Region]]="EAST",1,0)</f>
        <v>0</v>
      </c>
    </row>
    <row r="255" spans="1:13" ht="16" x14ac:dyDescent="0.2">
      <c r="A255" s="142" t="s">
        <v>545</v>
      </c>
      <c r="B255" s="143">
        <v>46236</v>
      </c>
      <c r="C255" s="142" t="s">
        <v>295</v>
      </c>
      <c r="D255" s="142">
        <v>2026</v>
      </c>
      <c r="E255" s="142">
        <v>26</v>
      </c>
      <c r="F255" s="144" t="s">
        <v>283</v>
      </c>
      <c r="G255" s="142" t="s">
        <v>85</v>
      </c>
      <c r="H255" s="145">
        <v>3150</v>
      </c>
      <c r="I255" s="142" t="s">
        <v>290</v>
      </c>
      <c r="J255" s="142" t="s">
        <v>290</v>
      </c>
      <c r="K255" s="142" t="s">
        <v>291</v>
      </c>
      <c r="L255" s="371">
        <f>IF(PolicyData[[#This Row],[ClaimFiled_Last5Yrs]]="Y",1,0)</f>
        <v>0</v>
      </c>
      <c r="M255" s="371">
        <f>IF(PolicyData[[#This Row],[Region]]="EAST",1,0)</f>
        <v>1</v>
      </c>
    </row>
    <row r="256" spans="1:13" ht="16" x14ac:dyDescent="0.2">
      <c r="A256" s="142" t="s">
        <v>546</v>
      </c>
      <c r="B256" s="143">
        <v>46281</v>
      </c>
      <c r="C256" s="142" t="s">
        <v>296</v>
      </c>
      <c r="D256" s="142">
        <v>2022</v>
      </c>
      <c r="E256" s="142">
        <v>72</v>
      </c>
      <c r="F256" s="144" t="s">
        <v>294</v>
      </c>
      <c r="G256" s="142" t="s">
        <v>87</v>
      </c>
      <c r="H256" s="146">
        <v>1250</v>
      </c>
      <c r="I256" s="142" t="s">
        <v>290</v>
      </c>
      <c r="J256" s="142" t="s">
        <v>291</v>
      </c>
      <c r="K256" s="142" t="s">
        <v>290</v>
      </c>
      <c r="L256" s="371">
        <f>IF(PolicyData[[#This Row],[ClaimFiled_Last5Yrs]]="Y",1,0)</f>
        <v>0</v>
      </c>
      <c r="M256" s="371">
        <f>IF(PolicyData[[#This Row],[Region]]="EAST",1,0)</f>
        <v>0</v>
      </c>
    </row>
    <row r="257" spans="1:13" ht="16" x14ac:dyDescent="0.2">
      <c r="A257" s="142" t="s">
        <v>547</v>
      </c>
      <c r="B257" s="143">
        <v>46324</v>
      </c>
      <c r="C257" s="142" t="s">
        <v>297</v>
      </c>
      <c r="D257" s="142">
        <v>2026</v>
      </c>
      <c r="E257" s="142">
        <v>41</v>
      </c>
      <c r="F257" s="144" t="s">
        <v>282</v>
      </c>
      <c r="G257" s="142" t="s">
        <v>85</v>
      </c>
      <c r="H257" s="146">
        <v>2400</v>
      </c>
      <c r="I257" s="142" t="s">
        <v>290</v>
      </c>
      <c r="J257" s="142" t="s">
        <v>291</v>
      </c>
      <c r="K257" s="142" t="s">
        <v>290</v>
      </c>
      <c r="L257" s="371">
        <f>IF(PolicyData[[#This Row],[ClaimFiled_Last5Yrs]]="Y",1,0)</f>
        <v>0</v>
      </c>
      <c r="M257" s="371">
        <f>IF(PolicyData[[#This Row],[Region]]="EAST",1,0)</f>
        <v>0</v>
      </c>
    </row>
    <row r="258" spans="1:13" ht="16" x14ac:dyDescent="0.2">
      <c r="A258" s="142" t="s">
        <v>548</v>
      </c>
      <c r="B258" s="143">
        <v>45970</v>
      </c>
      <c r="C258" s="142" t="s">
        <v>298</v>
      </c>
      <c r="D258" s="142">
        <v>2023</v>
      </c>
      <c r="E258" s="142">
        <v>84</v>
      </c>
      <c r="F258" s="144" t="s">
        <v>281</v>
      </c>
      <c r="G258" s="142" t="s">
        <v>87</v>
      </c>
      <c r="H258" s="146">
        <v>840</v>
      </c>
      <c r="I258" s="142" t="s">
        <v>290</v>
      </c>
      <c r="J258" s="142" t="s">
        <v>291</v>
      </c>
      <c r="K258" s="142" t="s">
        <v>290</v>
      </c>
      <c r="L258" s="371">
        <f>IF(PolicyData[[#This Row],[ClaimFiled_Last5Yrs]]="Y",1,0)</f>
        <v>0</v>
      </c>
      <c r="M258" s="371">
        <f>IF(PolicyData[[#This Row],[Region]]="EAST",1,0)</f>
        <v>0</v>
      </c>
    </row>
    <row r="259" spans="1:13" ht="16" x14ac:dyDescent="0.2">
      <c r="A259" s="142" t="s">
        <v>549</v>
      </c>
      <c r="B259" s="143">
        <v>46378</v>
      </c>
      <c r="C259" s="142" t="s">
        <v>299</v>
      </c>
      <c r="D259" s="142">
        <v>2026</v>
      </c>
      <c r="E259" s="142">
        <v>44</v>
      </c>
      <c r="F259" s="144" t="s">
        <v>283</v>
      </c>
      <c r="G259" s="142" t="s">
        <v>85</v>
      </c>
      <c r="H259" s="146">
        <v>2200</v>
      </c>
      <c r="I259" s="142" t="s">
        <v>291</v>
      </c>
      <c r="J259" s="142" t="s">
        <v>291</v>
      </c>
      <c r="K259" s="142" t="s">
        <v>290</v>
      </c>
      <c r="L259" s="371">
        <f>IF(PolicyData[[#This Row],[ClaimFiled_Last5Yrs]]="Y",1,0)</f>
        <v>1</v>
      </c>
      <c r="M259" s="371">
        <f>IF(PolicyData[[#This Row],[Region]]="EAST",1,0)</f>
        <v>1</v>
      </c>
    </row>
    <row r="260" spans="1:13" ht="16" x14ac:dyDescent="0.2">
      <c r="A260" s="142" t="s">
        <v>550</v>
      </c>
      <c r="B260" s="143">
        <v>46029</v>
      </c>
      <c r="C260" s="142" t="s">
        <v>300</v>
      </c>
      <c r="D260" s="142">
        <v>2026</v>
      </c>
      <c r="E260" s="142">
        <v>66</v>
      </c>
      <c r="F260" s="144" t="s">
        <v>294</v>
      </c>
      <c r="G260" s="142" t="s">
        <v>90</v>
      </c>
      <c r="H260" s="146">
        <v>1700</v>
      </c>
      <c r="I260" s="142" t="s">
        <v>290</v>
      </c>
      <c r="J260" s="142" t="s">
        <v>291</v>
      </c>
      <c r="K260" s="142" t="s">
        <v>290</v>
      </c>
      <c r="L260" s="371">
        <f>IF(PolicyData[[#This Row],[ClaimFiled_Last5Yrs]]="Y",1,0)</f>
        <v>0</v>
      </c>
      <c r="M260" s="371">
        <f>IF(PolicyData[[#This Row],[Region]]="EAST",1,0)</f>
        <v>0</v>
      </c>
    </row>
    <row r="261" spans="1:13" ht="16" x14ac:dyDescent="0.2">
      <c r="A261" s="142" t="s">
        <v>551</v>
      </c>
      <c r="B261" s="143">
        <v>46078</v>
      </c>
      <c r="C261" s="142" t="s">
        <v>301</v>
      </c>
      <c r="D261" s="142">
        <v>2026</v>
      </c>
      <c r="E261" s="142">
        <v>36</v>
      </c>
      <c r="F261" s="144" t="s">
        <v>282</v>
      </c>
      <c r="G261" s="142" t="s">
        <v>85</v>
      </c>
      <c r="H261" s="145">
        <v>2750</v>
      </c>
      <c r="I261" s="142" t="s">
        <v>291</v>
      </c>
      <c r="J261" s="142" t="s">
        <v>290</v>
      </c>
      <c r="K261" s="142" t="s">
        <v>290</v>
      </c>
      <c r="L261" s="371">
        <f>IF(PolicyData[[#This Row],[ClaimFiled_Last5Yrs]]="Y",1,0)</f>
        <v>1</v>
      </c>
      <c r="M261" s="371">
        <f>IF(PolicyData[[#This Row],[Region]]="EAST",1,0)</f>
        <v>0</v>
      </c>
    </row>
    <row r="262" spans="1:13" ht="16" x14ac:dyDescent="0.2">
      <c r="A262" s="142" t="s">
        <v>552</v>
      </c>
      <c r="B262" s="143">
        <v>46098</v>
      </c>
      <c r="C262" s="142" t="s">
        <v>289</v>
      </c>
      <c r="D262" s="142">
        <v>2026</v>
      </c>
      <c r="E262" s="142">
        <v>50</v>
      </c>
      <c r="F262" s="144" t="s">
        <v>281</v>
      </c>
      <c r="G262" s="142" t="s">
        <v>85</v>
      </c>
      <c r="H262" s="145">
        <v>2000</v>
      </c>
      <c r="I262" s="142" t="s">
        <v>290</v>
      </c>
      <c r="J262" s="142" t="s">
        <v>291</v>
      </c>
      <c r="K262" s="142" t="s">
        <v>290</v>
      </c>
      <c r="L262" s="371">
        <f>IF(PolicyData[[#This Row],[ClaimFiled_Last5Yrs]]="Y",1,0)</f>
        <v>0</v>
      </c>
      <c r="M262" s="371">
        <f>IF(PolicyData[[#This Row],[Region]]="EAST",1,0)</f>
        <v>0</v>
      </c>
    </row>
    <row r="263" spans="1:13" ht="16" x14ac:dyDescent="0.2">
      <c r="A263" s="142" t="s">
        <v>553</v>
      </c>
      <c r="B263" s="143">
        <v>46115</v>
      </c>
      <c r="C263" s="142" t="s">
        <v>292</v>
      </c>
      <c r="D263" s="142">
        <v>2024</v>
      </c>
      <c r="E263" s="142">
        <v>59</v>
      </c>
      <c r="F263" s="144" t="s">
        <v>283</v>
      </c>
      <c r="G263" s="142" t="s">
        <v>87</v>
      </c>
      <c r="H263" s="145">
        <v>980</v>
      </c>
      <c r="I263" s="142" t="s">
        <v>290</v>
      </c>
      <c r="J263" s="142" t="s">
        <v>291</v>
      </c>
      <c r="K263" s="142" t="s">
        <v>291</v>
      </c>
      <c r="L263" s="371">
        <f>IF(PolicyData[[#This Row],[ClaimFiled_Last5Yrs]]="Y",1,0)</f>
        <v>0</v>
      </c>
      <c r="M263" s="371">
        <f>IF(PolicyData[[#This Row],[Region]]="EAST",1,0)</f>
        <v>1</v>
      </c>
    </row>
    <row r="264" spans="1:13" ht="16" x14ac:dyDescent="0.2">
      <c r="A264" s="142" t="s">
        <v>554</v>
      </c>
      <c r="B264" s="143">
        <v>46162</v>
      </c>
      <c r="C264" s="142" t="s">
        <v>293</v>
      </c>
      <c r="D264" s="142">
        <v>2026</v>
      </c>
      <c r="E264" s="142">
        <v>29</v>
      </c>
      <c r="F264" s="144" t="s">
        <v>294</v>
      </c>
      <c r="G264" s="142" t="s">
        <v>85</v>
      </c>
      <c r="H264" s="146">
        <v>2900</v>
      </c>
      <c r="I264" s="142" t="s">
        <v>291</v>
      </c>
      <c r="J264" s="142" t="s">
        <v>290</v>
      </c>
      <c r="K264" s="142" t="s">
        <v>290</v>
      </c>
      <c r="L264" s="371">
        <f>IF(PolicyData[[#This Row],[ClaimFiled_Last5Yrs]]="Y",1,0)</f>
        <v>1</v>
      </c>
      <c r="M264" s="371">
        <f>IF(PolicyData[[#This Row],[Region]]="EAST",1,0)</f>
        <v>0</v>
      </c>
    </row>
    <row r="265" spans="1:13" ht="16" x14ac:dyDescent="0.2">
      <c r="A265" s="142" t="s">
        <v>555</v>
      </c>
      <c r="B265" s="143">
        <v>46187</v>
      </c>
      <c r="C265" s="142" t="s">
        <v>295</v>
      </c>
      <c r="D265" s="142">
        <v>2026</v>
      </c>
      <c r="E265" s="142">
        <v>73</v>
      </c>
      <c r="F265" s="144" t="s">
        <v>282</v>
      </c>
      <c r="G265" s="142" t="s">
        <v>90</v>
      </c>
      <c r="H265" s="145">
        <v>1140</v>
      </c>
      <c r="I265" s="142" t="s">
        <v>290</v>
      </c>
      <c r="J265" s="142" t="s">
        <v>291</v>
      </c>
      <c r="K265" s="142" t="s">
        <v>290</v>
      </c>
      <c r="L265" s="371">
        <f>IF(PolicyData[[#This Row],[ClaimFiled_Last5Yrs]]="Y",1,0)</f>
        <v>0</v>
      </c>
      <c r="M265" s="371">
        <f>IF(PolicyData[[#This Row],[Region]]="EAST",1,0)</f>
        <v>0</v>
      </c>
    </row>
    <row r="266" spans="1:13" ht="16" x14ac:dyDescent="0.2">
      <c r="A266" s="142" t="s">
        <v>556</v>
      </c>
      <c r="B266" s="143">
        <v>46225</v>
      </c>
      <c r="C266" s="142" t="s">
        <v>296</v>
      </c>
      <c r="D266" s="142">
        <v>2026</v>
      </c>
      <c r="E266" s="142">
        <v>52</v>
      </c>
      <c r="F266" s="144" t="s">
        <v>281</v>
      </c>
      <c r="G266" s="142" t="s">
        <v>85</v>
      </c>
      <c r="H266" s="145">
        <v>2500</v>
      </c>
      <c r="I266" s="142" t="s">
        <v>290</v>
      </c>
      <c r="J266" s="142" t="s">
        <v>291</v>
      </c>
      <c r="K266" s="142" t="s">
        <v>290</v>
      </c>
      <c r="L266" s="371">
        <f>IF(PolicyData[[#This Row],[ClaimFiled_Last5Yrs]]="Y",1,0)</f>
        <v>0</v>
      </c>
      <c r="M266" s="371">
        <f>IF(PolicyData[[#This Row],[Region]]="EAST",1,0)</f>
        <v>0</v>
      </c>
    </row>
    <row r="267" spans="1:13" ht="16" x14ac:dyDescent="0.2">
      <c r="A267" s="142" t="s">
        <v>557</v>
      </c>
      <c r="B267" s="143">
        <v>46240</v>
      </c>
      <c r="C267" s="142" t="s">
        <v>297</v>
      </c>
      <c r="D267" s="142">
        <v>2022</v>
      </c>
      <c r="E267" s="142">
        <v>74</v>
      </c>
      <c r="F267" s="144" t="s">
        <v>283</v>
      </c>
      <c r="G267" s="142" t="s">
        <v>87</v>
      </c>
      <c r="H267" s="145">
        <v>850</v>
      </c>
      <c r="I267" s="142" t="s">
        <v>290</v>
      </c>
      <c r="J267" s="142" t="s">
        <v>291</v>
      </c>
      <c r="K267" s="142" t="s">
        <v>290</v>
      </c>
      <c r="L267" s="371">
        <f>IF(PolicyData[[#This Row],[ClaimFiled_Last5Yrs]]="Y",1,0)</f>
        <v>0</v>
      </c>
      <c r="M267" s="371">
        <f>IF(PolicyData[[#This Row],[Region]]="EAST",1,0)</f>
        <v>1</v>
      </c>
    </row>
    <row r="268" spans="1:13" ht="16" x14ac:dyDescent="0.2">
      <c r="A268" s="142" t="s">
        <v>558</v>
      </c>
      <c r="B268" s="143">
        <v>46288</v>
      </c>
      <c r="C268" s="142" t="s">
        <v>298</v>
      </c>
      <c r="D268" s="142">
        <v>2026</v>
      </c>
      <c r="E268" s="142">
        <v>37</v>
      </c>
      <c r="F268" s="144" t="s">
        <v>282</v>
      </c>
      <c r="G268" s="142" t="s">
        <v>85</v>
      </c>
      <c r="H268" s="145">
        <v>2400</v>
      </c>
      <c r="I268" s="142" t="s">
        <v>291</v>
      </c>
      <c r="J268" s="142" t="s">
        <v>290</v>
      </c>
      <c r="K268" s="142" t="s">
        <v>290</v>
      </c>
      <c r="L268" s="371">
        <f>IF(PolicyData[[#This Row],[ClaimFiled_Last5Yrs]]="Y",1,0)</f>
        <v>1</v>
      </c>
      <c r="M268" s="371">
        <f>IF(PolicyData[[#This Row],[Region]]="EAST",1,0)</f>
        <v>0</v>
      </c>
    </row>
    <row r="269" spans="1:13" ht="16" x14ac:dyDescent="0.2">
      <c r="A269" s="142" t="s">
        <v>559</v>
      </c>
      <c r="B269" s="143">
        <v>46307</v>
      </c>
      <c r="C269" s="142" t="s">
        <v>299</v>
      </c>
      <c r="D269" s="142">
        <v>2026</v>
      </c>
      <c r="E269" s="142">
        <v>67</v>
      </c>
      <c r="F269" s="144" t="s">
        <v>294</v>
      </c>
      <c r="G269" s="142" t="s">
        <v>85</v>
      </c>
      <c r="H269" s="146">
        <v>2100</v>
      </c>
      <c r="I269" s="142" t="s">
        <v>290</v>
      </c>
      <c r="J269" s="142" t="s">
        <v>291</v>
      </c>
      <c r="K269" s="142" t="s">
        <v>290</v>
      </c>
      <c r="L269" s="371">
        <f>IF(PolicyData[[#This Row],[ClaimFiled_Last5Yrs]]="Y",1,0)</f>
        <v>0</v>
      </c>
      <c r="M269" s="371">
        <f>IF(PolicyData[[#This Row],[Region]]="EAST",1,0)</f>
        <v>0</v>
      </c>
    </row>
    <row r="270" spans="1:13" ht="16" x14ac:dyDescent="0.2">
      <c r="A270" s="142" t="s">
        <v>560</v>
      </c>
      <c r="B270" s="143">
        <v>46351</v>
      </c>
      <c r="C270" s="142" t="s">
        <v>300</v>
      </c>
      <c r="D270" s="142">
        <v>2026</v>
      </c>
      <c r="E270" s="142">
        <v>48</v>
      </c>
      <c r="F270" s="144" t="s">
        <v>281</v>
      </c>
      <c r="G270" s="142" t="s">
        <v>87</v>
      </c>
      <c r="H270" s="146">
        <v>1110</v>
      </c>
      <c r="I270" s="142" t="s">
        <v>290</v>
      </c>
      <c r="J270" s="142" t="s">
        <v>291</v>
      </c>
      <c r="K270" s="142" t="s">
        <v>290</v>
      </c>
      <c r="L270" s="371">
        <f>IF(PolicyData[[#This Row],[ClaimFiled_Last5Yrs]]="Y",1,0)</f>
        <v>0</v>
      </c>
      <c r="M270" s="371">
        <f>IF(PolicyData[[#This Row],[Region]]="EAST",1,0)</f>
        <v>0</v>
      </c>
    </row>
    <row r="271" spans="1:13" ht="16" x14ac:dyDescent="0.2">
      <c r="A271" s="142" t="s">
        <v>561</v>
      </c>
      <c r="B271" s="143">
        <v>46365</v>
      </c>
      <c r="C271" s="142" t="s">
        <v>301</v>
      </c>
      <c r="D271" s="142">
        <v>2026</v>
      </c>
      <c r="E271" s="142">
        <v>33</v>
      </c>
      <c r="F271" s="144" t="s">
        <v>283</v>
      </c>
      <c r="G271" s="142" t="s">
        <v>85</v>
      </c>
      <c r="H271" s="146">
        <v>2800</v>
      </c>
      <c r="I271" s="142" t="s">
        <v>291</v>
      </c>
      <c r="J271" s="142" t="s">
        <v>291</v>
      </c>
      <c r="K271" s="142" t="s">
        <v>291</v>
      </c>
      <c r="L271" s="371">
        <f>IF(PolicyData[[#This Row],[ClaimFiled_Last5Yrs]]="Y",1,0)</f>
        <v>1</v>
      </c>
      <c r="M271" s="371">
        <f>IF(PolicyData[[#This Row],[Region]]="EAST",1,0)</f>
        <v>1</v>
      </c>
    </row>
    <row r="272" spans="1:13" ht="16" x14ac:dyDescent="0.2">
      <c r="A272" s="142" t="s">
        <v>562</v>
      </c>
      <c r="B272" s="143">
        <v>46043</v>
      </c>
      <c r="C272" s="142" t="s">
        <v>289</v>
      </c>
      <c r="D272" s="142">
        <v>2023</v>
      </c>
      <c r="E272" s="142">
        <v>79</v>
      </c>
      <c r="F272" s="144" t="s">
        <v>294</v>
      </c>
      <c r="G272" s="142" t="s">
        <v>87</v>
      </c>
      <c r="H272" s="145">
        <v>760</v>
      </c>
      <c r="I272" s="142" t="s">
        <v>290</v>
      </c>
      <c r="J272" s="142" t="s">
        <v>291</v>
      </c>
      <c r="K272" s="142" t="s">
        <v>290</v>
      </c>
      <c r="L272" s="371">
        <f>IF(PolicyData[[#This Row],[ClaimFiled_Last5Yrs]]="Y",1,0)</f>
        <v>0</v>
      </c>
      <c r="M272" s="371">
        <f>IF(PolicyData[[#This Row],[Region]]="EAST",1,0)</f>
        <v>0</v>
      </c>
    </row>
    <row r="273" spans="1:13" ht="16" x14ac:dyDescent="0.2">
      <c r="A273" s="142" t="s">
        <v>563</v>
      </c>
      <c r="B273" s="143">
        <v>46235</v>
      </c>
      <c r="C273" s="142" t="s">
        <v>292</v>
      </c>
      <c r="D273" s="142">
        <v>2026</v>
      </c>
      <c r="E273" s="142">
        <v>40</v>
      </c>
      <c r="F273" s="144" t="s">
        <v>282</v>
      </c>
      <c r="G273" s="142" t="s">
        <v>85</v>
      </c>
      <c r="H273" s="146">
        <v>1980</v>
      </c>
      <c r="I273" s="142" t="s">
        <v>290</v>
      </c>
      <c r="J273" s="142" t="s">
        <v>291</v>
      </c>
      <c r="K273" s="142" t="s">
        <v>290</v>
      </c>
      <c r="L273" s="371">
        <f>IF(PolicyData[[#This Row],[ClaimFiled_Last5Yrs]]="Y",1,0)</f>
        <v>0</v>
      </c>
      <c r="M273" s="371">
        <f>IF(PolicyData[[#This Row],[Region]]="EAST",1,0)</f>
        <v>0</v>
      </c>
    </row>
    <row r="274" spans="1:13" ht="16" x14ac:dyDescent="0.2">
      <c r="A274" s="142" t="s">
        <v>564</v>
      </c>
      <c r="B274" s="143">
        <v>46284</v>
      </c>
      <c r="C274" s="142" t="s">
        <v>293</v>
      </c>
      <c r="D274" s="142">
        <v>2026</v>
      </c>
      <c r="E274" s="142">
        <v>54</v>
      </c>
      <c r="F274" s="144" t="s">
        <v>281</v>
      </c>
      <c r="G274" s="142" t="s">
        <v>90</v>
      </c>
      <c r="H274" s="146">
        <v>1550</v>
      </c>
      <c r="I274" s="142" t="s">
        <v>291</v>
      </c>
      <c r="J274" s="142" t="s">
        <v>291</v>
      </c>
      <c r="K274" s="142" t="s">
        <v>290</v>
      </c>
      <c r="L274" s="371">
        <f>IF(PolicyData[[#This Row],[ClaimFiled_Last5Yrs]]="Y",1,0)</f>
        <v>1</v>
      </c>
      <c r="M274" s="371">
        <f>IF(PolicyData[[#This Row],[Region]]="EAST",1,0)</f>
        <v>0</v>
      </c>
    </row>
    <row r="275" spans="1:13" ht="16" x14ac:dyDescent="0.2">
      <c r="A275" s="142" t="s">
        <v>565</v>
      </c>
      <c r="B275" s="143">
        <v>46317</v>
      </c>
      <c r="C275" s="142" t="s">
        <v>295</v>
      </c>
      <c r="D275" s="142">
        <v>2026</v>
      </c>
      <c r="E275" s="142">
        <v>27</v>
      </c>
      <c r="F275" s="144" t="s">
        <v>283</v>
      </c>
      <c r="G275" s="142" t="s">
        <v>85</v>
      </c>
      <c r="H275" s="146">
        <v>3200</v>
      </c>
      <c r="I275" s="142" t="s">
        <v>290</v>
      </c>
      <c r="J275" s="142" t="s">
        <v>290</v>
      </c>
      <c r="K275" s="142" t="s">
        <v>291</v>
      </c>
      <c r="L275" s="371">
        <f>IF(PolicyData[[#This Row],[ClaimFiled_Last5Yrs]]="Y",1,0)</f>
        <v>0</v>
      </c>
      <c r="M275" s="371">
        <f>IF(PolicyData[[#This Row],[Region]]="EAST",1,0)</f>
        <v>1</v>
      </c>
    </row>
    <row r="276" spans="1:13" ht="16" x14ac:dyDescent="0.2">
      <c r="A276" s="142" t="s">
        <v>566</v>
      </c>
      <c r="B276" s="143">
        <v>45972</v>
      </c>
      <c r="C276" s="142" t="s">
        <v>296</v>
      </c>
      <c r="D276" s="142">
        <v>2023</v>
      </c>
      <c r="E276" s="142">
        <v>74</v>
      </c>
      <c r="F276" s="144" t="s">
        <v>294</v>
      </c>
      <c r="G276" s="142" t="s">
        <v>87</v>
      </c>
      <c r="H276" s="145">
        <v>1280</v>
      </c>
      <c r="I276" s="142" t="s">
        <v>290</v>
      </c>
      <c r="J276" s="142" t="s">
        <v>291</v>
      </c>
      <c r="K276" s="142" t="s">
        <v>290</v>
      </c>
      <c r="L276" s="371">
        <f>IF(PolicyData[[#This Row],[ClaimFiled_Last5Yrs]]="Y",1,0)</f>
        <v>0</v>
      </c>
      <c r="M276" s="371">
        <f>IF(PolicyData[[#This Row],[Region]]="EAST",1,0)</f>
        <v>0</v>
      </c>
    </row>
    <row r="277" spans="1:13" ht="16" x14ac:dyDescent="0.2">
      <c r="A277" s="142" t="s">
        <v>567</v>
      </c>
      <c r="B277" s="143">
        <v>46200</v>
      </c>
      <c r="C277" s="142" t="s">
        <v>297</v>
      </c>
      <c r="D277" s="142">
        <v>2026</v>
      </c>
      <c r="E277" s="142">
        <v>42</v>
      </c>
      <c r="F277" s="144" t="s">
        <v>282</v>
      </c>
      <c r="G277" s="142" t="s">
        <v>85</v>
      </c>
      <c r="H277" s="146">
        <v>2450</v>
      </c>
      <c r="I277" s="142" t="s">
        <v>290</v>
      </c>
      <c r="J277" s="142" t="s">
        <v>291</v>
      </c>
      <c r="K277" s="142" t="s">
        <v>290</v>
      </c>
      <c r="L277" s="371">
        <f>IF(PolicyData[[#This Row],[ClaimFiled_Last5Yrs]]="Y",1,0)</f>
        <v>0</v>
      </c>
      <c r="M277" s="371">
        <f>IF(PolicyData[[#This Row],[Region]]="EAST",1,0)</f>
        <v>0</v>
      </c>
    </row>
    <row r="278" spans="1:13" ht="16" x14ac:dyDescent="0.2">
      <c r="A278" s="142" t="s">
        <v>568</v>
      </c>
      <c r="B278" s="143">
        <v>46217</v>
      </c>
      <c r="C278" s="142" t="s">
        <v>298</v>
      </c>
      <c r="D278" s="142">
        <v>2024</v>
      </c>
      <c r="E278" s="142">
        <v>85</v>
      </c>
      <c r="F278" s="144" t="s">
        <v>281</v>
      </c>
      <c r="G278" s="142" t="s">
        <v>87</v>
      </c>
      <c r="H278" s="145">
        <v>870</v>
      </c>
      <c r="I278" s="142" t="s">
        <v>290</v>
      </c>
      <c r="J278" s="142" t="s">
        <v>291</v>
      </c>
      <c r="K278" s="142" t="s">
        <v>290</v>
      </c>
      <c r="L278" s="371">
        <f>IF(PolicyData[[#This Row],[ClaimFiled_Last5Yrs]]="Y",1,0)</f>
        <v>0</v>
      </c>
      <c r="M278" s="371">
        <f>IF(PolicyData[[#This Row],[Region]]="EAST",1,0)</f>
        <v>0</v>
      </c>
    </row>
    <row r="279" spans="1:13" ht="16" x14ac:dyDescent="0.2">
      <c r="A279" s="142" t="s">
        <v>569</v>
      </c>
      <c r="B279" s="143">
        <v>46237</v>
      </c>
      <c r="C279" s="142" t="s">
        <v>299</v>
      </c>
      <c r="D279" s="142">
        <v>2026</v>
      </c>
      <c r="E279" s="142">
        <v>45</v>
      </c>
      <c r="F279" s="144" t="s">
        <v>283</v>
      </c>
      <c r="G279" s="142" t="s">
        <v>85</v>
      </c>
      <c r="H279" s="145">
        <v>2250</v>
      </c>
      <c r="I279" s="142" t="s">
        <v>291</v>
      </c>
      <c r="J279" s="142" t="s">
        <v>291</v>
      </c>
      <c r="K279" s="142" t="s">
        <v>290</v>
      </c>
      <c r="L279" s="371">
        <f>IF(PolicyData[[#This Row],[ClaimFiled_Last5Yrs]]="Y",1,0)</f>
        <v>1</v>
      </c>
      <c r="M279" s="371">
        <f>IF(PolicyData[[#This Row],[Region]]="EAST",1,0)</f>
        <v>1</v>
      </c>
    </row>
    <row r="280" spans="1:13" ht="16" x14ac:dyDescent="0.2">
      <c r="A280" s="142" t="s">
        <v>570</v>
      </c>
      <c r="B280" s="143">
        <v>46281</v>
      </c>
      <c r="C280" s="142" t="s">
        <v>300</v>
      </c>
      <c r="D280" s="142">
        <v>2026</v>
      </c>
      <c r="E280" s="142">
        <v>68</v>
      </c>
      <c r="F280" s="144" t="s">
        <v>294</v>
      </c>
      <c r="G280" s="142" t="s">
        <v>90</v>
      </c>
      <c r="H280" s="145">
        <v>1750</v>
      </c>
      <c r="I280" s="142" t="s">
        <v>290</v>
      </c>
      <c r="J280" s="142" t="s">
        <v>291</v>
      </c>
      <c r="K280" s="142" t="s">
        <v>290</v>
      </c>
      <c r="L280" s="371">
        <f>IF(PolicyData[[#This Row],[ClaimFiled_Last5Yrs]]="Y",1,0)</f>
        <v>0</v>
      </c>
      <c r="M280" s="371">
        <f>IF(PolicyData[[#This Row],[Region]]="EAST",1,0)</f>
        <v>0</v>
      </c>
    </row>
    <row r="281" spans="1:13" ht="16" x14ac:dyDescent="0.2">
      <c r="A281" s="142" t="s">
        <v>571</v>
      </c>
      <c r="B281" s="143">
        <v>46324</v>
      </c>
      <c r="C281" s="142" t="s">
        <v>301</v>
      </c>
      <c r="D281" s="142">
        <v>2026</v>
      </c>
      <c r="E281" s="142">
        <v>38</v>
      </c>
      <c r="F281" s="144" t="s">
        <v>282</v>
      </c>
      <c r="G281" s="142" t="s">
        <v>85</v>
      </c>
      <c r="H281" s="145">
        <v>2800</v>
      </c>
      <c r="I281" s="142" t="s">
        <v>291</v>
      </c>
      <c r="J281" s="142" t="s">
        <v>290</v>
      </c>
      <c r="K281" s="142" t="s">
        <v>290</v>
      </c>
      <c r="L281" s="371">
        <f>IF(PolicyData[[#This Row],[ClaimFiled_Last5Yrs]]="Y",1,0)</f>
        <v>1</v>
      </c>
      <c r="M281" s="371">
        <f>IF(PolicyData[[#This Row],[Region]]="EAST",1,0)</f>
        <v>0</v>
      </c>
    </row>
    <row r="282" spans="1:13" ht="16" x14ac:dyDescent="0.2">
      <c r="A282" s="142" t="s">
        <v>572</v>
      </c>
      <c r="B282" s="143">
        <v>46344</v>
      </c>
      <c r="C282" s="142" t="s">
        <v>289</v>
      </c>
      <c r="D282" s="142">
        <v>2026</v>
      </c>
      <c r="E282" s="142">
        <v>51</v>
      </c>
      <c r="F282" s="144" t="s">
        <v>281</v>
      </c>
      <c r="G282" s="142" t="s">
        <v>85</v>
      </c>
      <c r="H282" s="146">
        <v>2050</v>
      </c>
      <c r="I282" s="142" t="s">
        <v>290</v>
      </c>
      <c r="J282" s="142" t="s">
        <v>291</v>
      </c>
      <c r="K282" s="142" t="s">
        <v>290</v>
      </c>
      <c r="L282" s="371">
        <f>IF(PolicyData[[#This Row],[ClaimFiled_Last5Yrs]]="Y",1,0)</f>
        <v>0</v>
      </c>
      <c r="M282" s="371">
        <f>IF(PolicyData[[#This Row],[Region]]="EAST",1,0)</f>
        <v>0</v>
      </c>
    </row>
    <row r="283" spans="1:13" ht="16" x14ac:dyDescent="0.2">
      <c r="A283" s="142" t="s">
        <v>573</v>
      </c>
      <c r="B283" s="143">
        <v>45998</v>
      </c>
      <c r="C283" s="142" t="s">
        <v>292</v>
      </c>
      <c r="D283" s="142">
        <v>2025</v>
      </c>
      <c r="E283" s="142">
        <v>60</v>
      </c>
      <c r="F283" s="144" t="s">
        <v>283</v>
      </c>
      <c r="G283" s="142" t="s">
        <v>87</v>
      </c>
      <c r="H283" s="145">
        <v>1010</v>
      </c>
      <c r="I283" s="142" t="s">
        <v>290</v>
      </c>
      <c r="J283" s="142" t="s">
        <v>291</v>
      </c>
      <c r="K283" s="142" t="s">
        <v>291</v>
      </c>
      <c r="L283" s="371">
        <f>IF(PolicyData[[#This Row],[ClaimFiled_Last5Yrs]]="Y",1,0)</f>
        <v>0</v>
      </c>
      <c r="M283" s="371">
        <f>IF(PolicyData[[#This Row],[Region]]="EAST",1,0)</f>
        <v>1</v>
      </c>
    </row>
    <row r="284" spans="1:13" ht="16" x14ac:dyDescent="0.2">
      <c r="A284" s="142" t="s">
        <v>574</v>
      </c>
      <c r="B284" s="143">
        <v>46046</v>
      </c>
      <c r="C284" s="142" t="s">
        <v>293</v>
      </c>
      <c r="D284" s="142">
        <v>2026</v>
      </c>
      <c r="E284" s="142">
        <v>30</v>
      </c>
      <c r="F284" s="144" t="s">
        <v>294</v>
      </c>
      <c r="G284" s="142" t="s">
        <v>85</v>
      </c>
      <c r="H284" s="146">
        <v>2950</v>
      </c>
      <c r="I284" s="142" t="s">
        <v>291</v>
      </c>
      <c r="J284" s="142" t="s">
        <v>290</v>
      </c>
      <c r="K284" s="142" t="s">
        <v>290</v>
      </c>
      <c r="L284" s="371">
        <f>IF(PolicyData[[#This Row],[ClaimFiled_Last5Yrs]]="Y",1,0)</f>
        <v>1</v>
      </c>
      <c r="M284" s="371">
        <f>IF(PolicyData[[#This Row],[Region]]="EAST",1,0)</f>
        <v>0</v>
      </c>
    </row>
    <row r="285" spans="1:13" ht="16" x14ac:dyDescent="0.2">
      <c r="A285" s="142" t="s">
        <v>575</v>
      </c>
      <c r="B285" s="143">
        <v>46072</v>
      </c>
      <c r="C285" s="142" t="s">
        <v>295</v>
      </c>
      <c r="D285" s="142">
        <v>2026</v>
      </c>
      <c r="E285" s="142">
        <v>75</v>
      </c>
      <c r="F285" s="144" t="s">
        <v>282</v>
      </c>
      <c r="G285" s="142" t="s">
        <v>90</v>
      </c>
      <c r="H285" s="145">
        <v>1170</v>
      </c>
      <c r="I285" s="142" t="s">
        <v>290</v>
      </c>
      <c r="J285" s="142" t="s">
        <v>291</v>
      </c>
      <c r="K285" s="142" t="s">
        <v>290</v>
      </c>
      <c r="L285" s="371">
        <f>IF(PolicyData[[#This Row],[ClaimFiled_Last5Yrs]]="Y",1,0)</f>
        <v>0</v>
      </c>
      <c r="M285" s="371">
        <f>IF(PolicyData[[#This Row],[Region]]="EAST",1,0)</f>
        <v>0</v>
      </c>
    </row>
    <row r="286" spans="1:13" ht="16" x14ac:dyDescent="0.2">
      <c r="A286" s="142" t="s">
        <v>576</v>
      </c>
      <c r="B286" s="143">
        <v>46112</v>
      </c>
      <c r="C286" s="142" t="s">
        <v>296</v>
      </c>
      <c r="D286" s="142">
        <v>2026</v>
      </c>
      <c r="E286" s="142">
        <v>53</v>
      </c>
      <c r="F286" s="144" t="s">
        <v>281</v>
      </c>
      <c r="G286" s="142" t="s">
        <v>85</v>
      </c>
      <c r="H286" s="146">
        <v>2550</v>
      </c>
      <c r="I286" s="142" t="s">
        <v>290</v>
      </c>
      <c r="J286" s="142" t="s">
        <v>291</v>
      </c>
      <c r="K286" s="142" t="s">
        <v>290</v>
      </c>
      <c r="L286" s="371">
        <f>IF(PolicyData[[#This Row],[ClaimFiled_Last5Yrs]]="Y",1,0)</f>
        <v>0</v>
      </c>
      <c r="M286" s="371">
        <f>IF(PolicyData[[#This Row],[Region]]="EAST",1,0)</f>
        <v>0</v>
      </c>
    </row>
    <row r="287" spans="1:13" ht="16" x14ac:dyDescent="0.2">
      <c r="A287" s="142" t="s">
        <v>577</v>
      </c>
      <c r="B287" s="143">
        <v>46135</v>
      </c>
      <c r="C287" s="142" t="s">
        <v>297</v>
      </c>
      <c r="D287" s="142">
        <v>2023</v>
      </c>
      <c r="E287" s="142">
        <v>76</v>
      </c>
      <c r="F287" s="144" t="s">
        <v>283</v>
      </c>
      <c r="G287" s="142" t="s">
        <v>87</v>
      </c>
      <c r="H287" s="145">
        <v>870</v>
      </c>
      <c r="I287" s="142" t="s">
        <v>290</v>
      </c>
      <c r="J287" s="142" t="s">
        <v>291</v>
      </c>
      <c r="K287" s="142" t="s">
        <v>290</v>
      </c>
      <c r="L287" s="371">
        <f>IF(PolicyData[[#This Row],[ClaimFiled_Last5Yrs]]="Y",1,0)</f>
        <v>0</v>
      </c>
      <c r="M287" s="371">
        <f>IF(PolicyData[[#This Row],[Region]]="EAST",1,0)</f>
        <v>1</v>
      </c>
    </row>
    <row r="288" spans="1:13" ht="16" x14ac:dyDescent="0.2">
      <c r="A288" s="142" t="s">
        <v>578</v>
      </c>
      <c r="B288" s="143">
        <v>46144</v>
      </c>
      <c r="C288" s="142" t="s">
        <v>298</v>
      </c>
      <c r="D288" s="142">
        <v>2026</v>
      </c>
      <c r="E288" s="142">
        <v>39</v>
      </c>
      <c r="F288" s="144" t="s">
        <v>282</v>
      </c>
      <c r="G288" s="142" t="s">
        <v>85</v>
      </c>
      <c r="H288" s="145">
        <v>2500</v>
      </c>
      <c r="I288" s="142" t="s">
        <v>291</v>
      </c>
      <c r="J288" s="142" t="s">
        <v>290</v>
      </c>
      <c r="K288" s="142" t="s">
        <v>290</v>
      </c>
      <c r="L288" s="371">
        <f>IF(PolicyData[[#This Row],[ClaimFiled_Last5Yrs]]="Y",1,0)</f>
        <v>1</v>
      </c>
      <c r="M288" s="371">
        <f>IF(PolicyData[[#This Row],[Region]]="EAST",1,0)</f>
        <v>0</v>
      </c>
    </row>
    <row r="289" spans="1:13" ht="16" x14ac:dyDescent="0.2">
      <c r="A289" s="142" t="s">
        <v>579</v>
      </c>
      <c r="B289" s="143">
        <v>46191</v>
      </c>
      <c r="C289" s="142" t="s">
        <v>299</v>
      </c>
      <c r="D289" s="142">
        <v>2026</v>
      </c>
      <c r="E289" s="142">
        <v>69</v>
      </c>
      <c r="F289" s="144" t="s">
        <v>294</v>
      </c>
      <c r="G289" s="142" t="s">
        <v>85</v>
      </c>
      <c r="H289" s="145">
        <v>2150</v>
      </c>
      <c r="I289" s="142" t="s">
        <v>290</v>
      </c>
      <c r="J289" s="142" t="s">
        <v>291</v>
      </c>
      <c r="K289" s="142" t="s">
        <v>290</v>
      </c>
      <c r="L289" s="371">
        <f>IF(PolicyData[[#This Row],[ClaimFiled_Last5Yrs]]="Y",1,0)</f>
        <v>0</v>
      </c>
      <c r="M289" s="371">
        <f>IF(PolicyData[[#This Row],[Region]]="EAST",1,0)</f>
        <v>0</v>
      </c>
    </row>
    <row r="290" spans="1:13" ht="16" x14ac:dyDescent="0.2">
      <c r="A290" s="142" t="s">
        <v>580</v>
      </c>
      <c r="B290" s="143">
        <v>46234</v>
      </c>
      <c r="C290" s="142" t="s">
        <v>300</v>
      </c>
      <c r="D290" s="142">
        <v>2026</v>
      </c>
      <c r="E290" s="142">
        <v>49</v>
      </c>
      <c r="F290" s="144" t="s">
        <v>281</v>
      </c>
      <c r="G290" s="142" t="s">
        <v>87</v>
      </c>
      <c r="H290" s="145">
        <v>1140</v>
      </c>
      <c r="I290" s="142" t="s">
        <v>290</v>
      </c>
      <c r="J290" s="142" t="s">
        <v>291</v>
      </c>
      <c r="K290" s="142" t="s">
        <v>290</v>
      </c>
      <c r="L290" s="371">
        <f>IF(PolicyData[[#This Row],[ClaimFiled_Last5Yrs]]="Y",1,0)</f>
        <v>0</v>
      </c>
      <c r="M290" s="371">
        <f>IF(PolicyData[[#This Row],[Region]]="EAST",1,0)</f>
        <v>0</v>
      </c>
    </row>
    <row r="291" spans="1:13" ht="16" x14ac:dyDescent="0.2">
      <c r="A291" s="142" t="s">
        <v>581</v>
      </c>
      <c r="B291" s="143">
        <v>46243</v>
      </c>
      <c r="C291" s="142" t="s">
        <v>301</v>
      </c>
      <c r="D291" s="142">
        <v>2026</v>
      </c>
      <c r="E291" s="142">
        <v>34</v>
      </c>
      <c r="F291" s="144" t="s">
        <v>283</v>
      </c>
      <c r="G291" s="142" t="s">
        <v>85</v>
      </c>
      <c r="H291" s="145">
        <v>2850</v>
      </c>
      <c r="I291" s="142" t="s">
        <v>291</v>
      </c>
      <c r="J291" s="142" t="s">
        <v>291</v>
      </c>
      <c r="K291" s="142" t="s">
        <v>291</v>
      </c>
      <c r="L291" s="371">
        <f>IF(PolicyData[[#This Row],[ClaimFiled_Last5Yrs]]="Y",1,0)</f>
        <v>1</v>
      </c>
      <c r="M291" s="371">
        <f>IF(PolicyData[[#This Row],[Region]]="EAST",1,0)</f>
        <v>1</v>
      </c>
    </row>
    <row r="292" spans="1:13" ht="16" x14ac:dyDescent="0.2">
      <c r="A292" s="142" t="s">
        <v>582</v>
      </c>
      <c r="B292" s="143">
        <v>46286</v>
      </c>
      <c r="C292" s="142" t="s">
        <v>289</v>
      </c>
      <c r="D292" s="142">
        <v>2024</v>
      </c>
      <c r="E292" s="142">
        <v>80</v>
      </c>
      <c r="F292" s="144" t="s">
        <v>294</v>
      </c>
      <c r="G292" s="142" t="s">
        <v>87</v>
      </c>
      <c r="H292" s="145">
        <v>790</v>
      </c>
      <c r="I292" s="142" t="s">
        <v>290</v>
      </c>
      <c r="J292" s="142" t="s">
        <v>291</v>
      </c>
      <c r="K292" s="142" t="s">
        <v>290</v>
      </c>
      <c r="L292" s="371">
        <f>IF(PolicyData[[#This Row],[ClaimFiled_Last5Yrs]]="Y",1,0)</f>
        <v>0</v>
      </c>
      <c r="M292" s="371">
        <f>IF(PolicyData[[#This Row],[Region]]="EAST",1,0)</f>
        <v>0</v>
      </c>
    </row>
    <row r="293" spans="1:13" ht="16" x14ac:dyDescent="0.2">
      <c r="A293" s="142" t="s">
        <v>583</v>
      </c>
      <c r="B293" s="143">
        <v>46297</v>
      </c>
      <c r="C293" s="142" t="s">
        <v>292</v>
      </c>
      <c r="D293" s="142">
        <v>2026</v>
      </c>
      <c r="E293" s="142">
        <v>41</v>
      </c>
      <c r="F293" s="144" t="s">
        <v>282</v>
      </c>
      <c r="G293" s="142" t="s">
        <v>85</v>
      </c>
      <c r="H293" s="145">
        <v>2030</v>
      </c>
      <c r="I293" s="142" t="s">
        <v>290</v>
      </c>
      <c r="J293" s="142" t="s">
        <v>291</v>
      </c>
      <c r="K293" s="142" t="s">
        <v>290</v>
      </c>
      <c r="L293" s="371">
        <f>IF(PolicyData[[#This Row],[ClaimFiled_Last5Yrs]]="Y",1,0)</f>
        <v>0</v>
      </c>
      <c r="M293" s="371">
        <f>IF(PolicyData[[#This Row],[Region]]="EAST",1,0)</f>
        <v>0</v>
      </c>
    </row>
    <row r="294" spans="1:13" ht="16" x14ac:dyDescent="0.2">
      <c r="A294" s="142" t="s">
        <v>584</v>
      </c>
      <c r="B294" s="143">
        <v>45969</v>
      </c>
      <c r="C294" s="142" t="s">
        <v>293</v>
      </c>
      <c r="D294" s="142">
        <v>2026</v>
      </c>
      <c r="E294" s="142">
        <v>55</v>
      </c>
      <c r="F294" s="144" t="s">
        <v>281</v>
      </c>
      <c r="G294" s="142" t="s">
        <v>90</v>
      </c>
      <c r="H294" s="145">
        <v>1600</v>
      </c>
      <c r="I294" s="142" t="s">
        <v>291</v>
      </c>
      <c r="J294" s="142" t="s">
        <v>291</v>
      </c>
      <c r="K294" s="142" t="s">
        <v>290</v>
      </c>
      <c r="L294" s="371">
        <f>IF(PolicyData[[#This Row],[ClaimFiled_Last5Yrs]]="Y",1,0)</f>
        <v>1</v>
      </c>
      <c r="M294" s="371">
        <f>IF(PolicyData[[#This Row],[Region]]="EAST",1,0)</f>
        <v>0</v>
      </c>
    </row>
    <row r="295" spans="1:13" ht="16" x14ac:dyDescent="0.2">
      <c r="A295" s="142" t="s">
        <v>585</v>
      </c>
      <c r="B295" s="143">
        <v>46379</v>
      </c>
      <c r="C295" s="142" t="s">
        <v>295</v>
      </c>
      <c r="D295" s="142">
        <v>2026</v>
      </c>
      <c r="E295" s="142">
        <v>28</v>
      </c>
      <c r="F295" s="144" t="s">
        <v>283</v>
      </c>
      <c r="G295" s="142" t="s">
        <v>85</v>
      </c>
      <c r="H295" s="146">
        <v>3250</v>
      </c>
      <c r="I295" s="142" t="s">
        <v>290</v>
      </c>
      <c r="J295" s="142" t="s">
        <v>290</v>
      </c>
      <c r="K295" s="142" t="s">
        <v>291</v>
      </c>
      <c r="L295" s="371">
        <f>IF(PolicyData[[#This Row],[ClaimFiled_Last5Yrs]]="Y",1,0)</f>
        <v>0</v>
      </c>
      <c r="M295" s="371">
        <f>IF(PolicyData[[#This Row],[Region]]="EAST",1,0)</f>
        <v>1</v>
      </c>
    </row>
    <row r="296" spans="1:13" ht="16" x14ac:dyDescent="0.2">
      <c r="A296" s="142" t="s">
        <v>586</v>
      </c>
      <c r="B296" s="143">
        <v>46034</v>
      </c>
      <c r="C296" s="142" t="s">
        <v>296</v>
      </c>
      <c r="D296" s="142">
        <v>2024</v>
      </c>
      <c r="E296" s="142">
        <v>76</v>
      </c>
      <c r="F296" s="144" t="s">
        <v>294</v>
      </c>
      <c r="G296" s="142" t="s">
        <v>87</v>
      </c>
      <c r="H296" s="145">
        <v>1320</v>
      </c>
      <c r="I296" s="142" t="s">
        <v>290</v>
      </c>
      <c r="J296" s="142" t="s">
        <v>291</v>
      </c>
      <c r="K296" s="142" t="s">
        <v>290</v>
      </c>
      <c r="L296" s="371">
        <f>IF(PolicyData[[#This Row],[ClaimFiled_Last5Yrs]]="Y",1,0)</f>
        <v>0</v>
      </c>
      <c r="M296" s="371">
        <f>IF(PolicyData[[#This Row],[Region]]="EAST",1,0)</f>
        <v>0</v>
      </c>
    </row>
    <row r="297" spans="1:13" ht="16" x14ac:dyDescent="0.2">
      <c r="A297" s="142" t="s">
        <v>587</v>
      </c>
      <c r="B297" s="143">
        <v>46080</v>
      </c>
      <c r="C297" s="142" t="s">
        <v>297</v>
      </c>
      <c r="D297" s="142">
        <v>2026</v>
      </c>
      <c r="E297" s="142">
        <v>43</v>
      </c>
      <c r="F297" s="144" t="s">
        <v>282</v>
      </c>
      <c r="G297" s="142" t="s">
        <v>85</v>
      </c>
      <c r="H297" s="146">
        <v>2500</v>
      </c>
      <c r="I297" s="142" t="s">
        <v>290</v>
      </c>
      <c r="J297" s="142" t="s">
        <v>291</v>
      </c>
      <c r="K297" s="142" t="s">
        <v>290</v>
      </c>
      <c r="L297" s="371">
        <f>IF(PolicyData[[#This Row],[ClaimFiled_Last5Yrs]]="Y",1,0)</f>
        <v>0</v>
      </c>
      <c r="M297" s="371">
        <f>IF(PolicyData[[#This Row],[Region]]="EAST",1,0)</f>
        <v>0</v>
      </c>
    </row>
    <row r="298" spans="1:13" ht="16" x14ac:dyDescent="0.2">
      <c r="A298" s="142" t="s">
        <v>588</v>
      </c>
      <c r="B298" s="143">
        <v>46096</v>
      </c>
      <c r="C298" s="142" t="s">
        <v>298</v>
      </c>
      <c r="D298" s="142">
        <v>2025</v>
      </c>
      <c r="E298" s="142">
        <v>86</v>
      </c>
      <c r="F298" s="144" t="s">
        <v>281</v>
      </c>
      <c r="G298" s="142" t="s">
        <v>87</v>
      </c>
      <c r="H298" s="145">
        <v>900</v>
      </c>
      <c r="I298" s="142" t="s">
        <v>290</v>
      </c>
      <c r="J298" s="142" t="s">
        <v>291</v>
      </c>
      <c r="K298" s="142" t="s">
        <v>290</v>
      </c>
      <c r="L298" s="371">
        <f>IF(PolicyData[[#This Row],[ClaimFiled_Last5Yrs]]="Y",1,0)</f>
        <v>0</v>
      </c>
      <c r="M298" s="371">
        <f>IF(PolicyData[[#This Row],[Region]]="EAST",1,0)</f>
        <v>0</v>
      </c>
    </row>
    <row r="299" spans="1:13" ht="16" x14ac:dyDescent="0.2">
      <c r="A299" s="142" t="s">
        <v>589</v>
      </c>
      <c r="B299" s="143">
        <v>46136</v>
      </c>
      <c r="C299" s="142" t="s">
        <v>299</v>
      </c>
      <c r="D299" s="142">
        <v>2026</v>
      </c>
      <c r="E299" s="142">
        <v>46</v>
      </c>
      <c r="F299" s="144" t="s">
        <v>283</v>
      </c>
      <c r="G299" s="142" t="s">
        <v>85</v>
      </c>
      <c r="H299" s="145">
        <v>2300</v>
      </c>
      <c r="I299" s="142" t="s">
        <v>291</v>
      </c>
      <c r="J299" s="142" t="s">
        <v>291</v>
      </c>
      <c r="K299" s="142" t="s">
        <v>290</v>
      </c>
      <c r="L299" s="371">
        <f>IF(PolicyData[[#This Row],[ClaimFiled_Last5Yrs]]="Y",1,0)</f>
        <v>1</v>
      </c>
      <c r="M299" s="371">
        <f>IF(PolicyData[[#This Row],[Region]]="EAST",1,0)</f>
        <v>1</v>
      </c>
    </row>
    <row r="300" spans="1:13" ht="16" x14ac:dyDescent="0.2">
      <c r="A300" s="142" t="s">
        <v>590</v>
      </c>
      <c r="B300" s="143">
        <v>46152</v>
      </c>
      <c r="C300" s="142" t="s">
        <v>300</v>
      </c>
      <c r="D300" s="142">
        <v>2026</v>
      </c>
      <c r="E300" s="142">
        <v>70</v>
      </c>
      <c r="F300" s="144" t="s">
        <v>294</v>
      </c>
      <c r="G300" s="142" t="s">
        <v>90</v>
      </c>
      <c r="H300" s="145">
        <v>1800</v>
      </c>
      <c r="I300" s="142" t="s">
        <v>290</v>
      </c>
      <c r="J300" s="142" t="s">
        <v>291</v>
      </c>
      <c r="K300" s="142" t="s">
        <v>290</v>
      </c>
      <c r="L300" s="371">
        <f>IF(PolicyData[[#This Row],[ClaimFiled_Last5Yrs]]="Y",1,0)</f>
        <v>0</v>
      </c>
      <c r="M300" s="371">
        <f>IF(PolicyData[[#This Row],[Region]]="EAST",1,0)</f>
        <v>0</v>
      </c>
    </row>
    <row r="301" spans="1:13" ht="16" x14ac:dyDescent="0.2">
      <c r="A301" s="142" t="s">
        <v>591</v>
      </c>
      <c r="B301" s="143">
        <v>46175</v>
      </c>
      <c r="C301" s="142" t="s">
        <v>301</v>
      </c>
      <c r="D301" s="142">
        <v>2026</v>
      </c>
      <c r="E301" s="142">
        <v>37</v>
      </c>
      <c r="F301" s="144" t="s">
        <v>282</v>
      </c>
      <c r="G301" s="142" t="s">
        <v>85</v>
      </c>
      <c r="H301" s="146">
        <v>2850</v>
      </c>
      <c r="I301" s="142" t="s">
        <v>291</v>
      </c>
      <c r="J301" s="142" t="s">
        <v>290</v>
      </c>
      <c r="K301" s="142" t="s">
        <v>290</v>
      </c>
      <c r="L301" s="371">
        <f>IF(PolicyData[[#This Row],[ClaimFiled_Last5Yrs]]="Y",1,0)</f>
        <v>1</v>
      </c>
      <c r="M301" s="371">
        <f>IF(PolicyData[[#This Row],[Region]]="EAST",1,0)</f>
        <v>0</v>
      </c>
    </row>
    <row r="302" spans="1:13" ht="16" x14ac:dyDescent="0.2">
      <c r="A302" s="142" t="s">
        <v>592</v>
      </c>
      <c r="B302" s="143">
        <v>46224</v>
      </c>
      <c r="C302" s="142" t="s">
        <v>289</v>
      </c>
      <c r="D302" s="142">
        <v>2026</v>
      </c>
      <c r="E302" s="142">
        <v>40</v>
      </c>
      <c r="F302" s="144" t="s">
        <v>281</v>
      </c>
      <c r="G302" s="142" t="s">
        <v>85</v>
      </c>
      <c r="H302" s="145">
        <v>2050</v>
      </c>
      <c r="I302" s="142" t="s">
        <v>290</v>
      </c>
      <c r="J302" s="142" t="s">
        <v>291</v>
      </c>
      <c r="K302" s="142" t="s">
        <v>290</v>
      </c>
      <c r="L302" s="371">
        <f>IF(PolicyData[[#This Row],[ClaimFiled_Last5Yrs]]="Y",1,0)</f>
        <v>0</v>
      </c>
      <c r="M302" s="371">
        <f>IF(PolicyData[[#This Row],[Region]]="EAST",1,0)</f>
        <v>0</v>
      </c>
    </row>
    <row r="303" spans="1:13" ht="16" x14ac:dyDescent="0.2">
      <c r="A303" s="142" t="s">
        <v>593</v>
      </c>
      <c r="B303" s="143">
        <v>46241</v>
      </c>
      <c r="C303" s="142" t="s">
        <v>292</v>
      </c>
      <c r="D303" s="142">
        <v>2026</v>
      </c>
      <c r="E303" s="142">
        <v>61</v>
      </c>
      <c r="F303" s="144" t="s">
        <v>283</v>
      </c>
      <c r="G303" s="142" t="s">
        <v>87</v>
      </c>
      <c r="H303" s="145">
        <v>1040</v>
      </c>
      <c r="I303" s="142" t="s">
        <v>291</v>
      </c>
      <c r="J303" s="142" t="s">
        <v>291</v>
      </c>
      <c r="K303" s="142" t="s">
        <v>290</v>
      </c>
      <c r="L303" s="371">
        <f>IF(PolicyData[[#This Row],[ClaimFiled_Last5Yrs]]="Y",1,0)</f>
        <v>1</v>
      </c>
      <c r="M303" s="371">
        <f>IF(PolicyData[[#This Row],[Region]]="EAST",1,0)</f>
        <v>1</v>
      </c>
    </row>
    <row r="304" spans="1:13" ht="16" x14ac:dyDescent="0.2">
      <c r="A304" s="142" t="s">
        <v>594</v>
      </c>
      <c r="B304" s="143">
        <v>46282</v>
      </c>
      <c r="C304" s="142" t="s">
        <v>293</v>
      </c>
      <c r="D304" s="142">
        <v>2026</v>
      </c>
      <c r="E304" s="142">
        <v>29</v>
      </c>
      <c r="F304" s="144" t="s">
        <v>294</v>
      </c>
      <c r="G304" s="142" t="s">
        <v>85</v>
      </c>
      <c r="H304" s="145">
        <v>3000</v>
      </c>
      <c r="I304" s="142" t="s">
        <v>290</v>
      </c>
      <c r="J304" s="142" t="s">
        <v>290</v>
      </c>
      <c r="K304" s="142" t="s">
        <v>291</v>
      </c>
      <c r="L304" s="371">
        <f>IF(PolicyData[[#This Row],[ClaimFiled_Last5Yrs]]="Y",1,0)</f>
        <v>0</v>
      </c>
      <c r="M304" s="371">
        <f>IF(PolicyData[[#This Row],[Region]]="EAST",1,0)</f>
        <v>0</v>
      </c>
    </row>
    <row r="305" spans="1:13" ht="16" x14ac:dyDescent="0.2">
      <c r="A305" s="142" t="s">
        <v>595</v>
      </c>
      <c r="B305" s="143">
        <v>46324</v>
      </c>
      <c r="C305" s="142" t="s">
        <v>295</v>
      </c>
      <c r="D305" s="142">
        <v>2026</v>
      </c>
      <c r="E305" s="142">
        <v>70</v>
      </c>
      <c r="F305" s="144" t="s">
        <v>282</v>
      </c>
      <c r="G305" s="142" t="s">
        <v>90</v>
      </c>
      <c r="H305" s="145">
        <v>1190</v>
      </c>
      <c r="I305" s="142" t="s">
        <v>290</v>
      </c>
      <c r="J305" s="142" t="s">
        <v>291</v>
      </c>
      <c r="K305" s="142" t="s">
        <v>290</v>
      </c>
      <c r="L305" s="371">
        <f>IF(PolicyData[[#This Row],[ClaimFiled_Last5Yrs]]="Y",1,0)</f>
        <v>0</v>
      </c>
      <c r="M305" s="371">
        <f>IF(PolicyData[[#This Row],[Region]]="EAST",1,0)</f>
        <v>0</v>
      </c>
    </row>
    <row r="306" spans="1:13" ht="16" x14ac:dyDescent="0.2">
      <c r="A306" s="142" t="s">
        <v>596</v>
      </c>
      <c r="B306" s="143">
        <v>45976</v>
      </c>
      <c r="C306" s="142" t="s">
        <v>296</v>
      </c>
      <c r="D306" s="142">
        <v>2026</v>
      </c>
      <c r="E306" s="142">
        <v>54</v>
      </c>
      <c r="F306" s="144" t="s">
        <v>281</v>
      </c>
      <c r="G306" s="142" t="s">
        <v>85</v>
      </c>
      <c r="H306" s="146">
        <v>2650</v>
      </c>
      <c r="I306" s="142" t="s">
        <v>290</v>
      </c>
      <c r="J306" s="142" t="s">
        <v>291</v>
      </c>
      <c r="K306" s="142" t="s">
        <v>290</v>
      </c>
      <c r="L306" s="371">
        <f>IF(PolicyData[[#This Row],[ClaimFiled_Last5Yrs]]="Y",1,0)</f>
        <v>0</v>
      </c>
      <c r="M306" s="371">
        <f>IF(PolicyData[[#This Row],[Region]]="EAST",1,0)</f>
        <v>0</v>
      </c>
    </row>
    <row r="307" spans="1:13" ht="16" x14ac:dyDescent="0.2">
      <c r="A307" s="142" t="s">
        <v>597</v>
      </c>
      <c r="B307" s="143">
        <v>45999</v>
      </c>
      <c r="C307" s="142" t="s">
        <v>297</v>
      </c>
      <c r="D307" s="142">
        <v>2024</v>
      </c>
      <c r="E307" s="142">
        <v>77</v>
      </c>
      <c r="F307" s="144" t="s">
        <v>283</v>
      </c>
      <c r="G307" s="142" t="s">
        <v>87</v>
      </c>
      <c r="H307" s="146">
        <v>900</v>
      </c>
      <c r="I307" s="142" t="s">
        <v>290</v>
      </c>
      <c r="J307" s="142" t="s">
        <v>291</v>
      </c>
      <c r="K307" s="142" t="s">
        <v>290</v>
      </c>
      <c r="L307" s="371">
        <f>IF(PolicyData[[#This Row],[ClaimFiled_Last5Yrs]]="Y",1,0)</f>
        <v>0</v>
      </c>
      <c r="M307" s="371">
        <f>IF(PolicyData[[#This Row],[Region]]="EAST",1,0)</f>
        <v>1</v>
      </c>
    </row>
    <row r="308" spans="1:13" ht="16" x14ac:dyDescent="0.2">
      <c r="A308" s="142" t="s">
        <v>598</v>
      </c>
      <c r="B308" s="143">
        <v>46033</v>
      </c>
      <c r="C308" s="142" t="s">
        <v>298</v>
      </c>
      <c r="D308" s="142">
        <v>2026</v>
      </c>
      <c r="E308" s="142">
        <v>41</v>
      </c>
      <c r="F308" s="144" t="s">
        <v>282</v>
      </c>
      <c r="G308" s="142" t="s">
        <v>85</v>
      </c>
      <c r="H308" s="146">
        <v>2550</v>
      </c>
      <c r="I308" s="142" t="s">
        <v>291</v>
      </c>
      <c r="J308" s="142" t="s">
        <v>290</v>
      </c>
      <c r="K308" s="142" t="s">
        <v>290</v>
      </c>
      <c r="L308" s="371">
        <f>IF(PolicyData[[#This Row],[ClaimFiled_Last5Yrs]]="Y",1,0)</f>
        <v>1</v>
      </c>
      <c r="M308" s="371">
        <f>IF(PolicyData[[#This Row],[Region]]="EAST",1,0)</f>
        <v>0</v>
      </c>
    </row>
    <row r="309" spans="1:13" ht="16" x14ac:dyDescent="0.2">
      <c r="A309" s="142" t="s">
        <v>599</v>
      </c>
      <c r="B309" s="143">
        <v>46077</v>
      </c>
      <c r="C309" s="142" t="s">
        <v>299</v>
      </c>
      <c r="D309" s="142">
        <v>2026</v>
      </c>
      <c r="E309" s="142">
        <v>71</v>
      </c>
      <c r="F309" s="144" t="s">
        <v>294</v>
      </c>
      <c r="G309" s="142" t="s">
        <v>85</v>
      </c>
      <c r="H309" s="146">
        <v>2350</v>
      </c>
      <c r="I309" s="142" t="s">
        <v>290</v>
      </c>
      <c r="J309" s="142" t="s">
        <v>291</v>
      </c>
      <c r="K309" s="142" t="s">
        <v>290</v>
      </c>
      <c r="L309" s="371">
        <f>IF(PolicyData[[#This Row],[ClaimFiled_Last5Yrs]]="Y",1,0)</f>
        <v>0</v>
      </c>
      <c r="M309" s="371">
        <f>IF(PolicyData[[#This Row],[Region]]="EAST",1,0)</f>
        <v>0</v>
      </c>
    </row>
    <row r="310" spans="1:13" ht="16" x14ac:dyDescent="0.2">
      <c r="A310" s="142" t="s">
        <v>600</v>
      </c>
      <c r="B310" s="143">
        <v>46097</v>
      </c>
      <c r="C310" s="142" t="s">
        <v>300</v>
      </c>
      <c r="D310" s="142">
        <v>2026</v>
      </c>
      <c r="E310" s="142">
        <v>50</v>
      </c>
      <c r="F310" s="144" t="s">
        <v>281</v>
      </c>
      <c r="G310" s="142" t="s">
        <v>87</v>
      </c>
      <c r="H310" s="146">
        <v>1200</v>
      </c>
      <c r="I310" s="142" t="s">
        <v>290</v>
      </c>
      <c r="J310" s="142" t="s">
        <v>291</v>
      </c>
      <c r="K310" s="142" t="s">
        <v>291</v>
      </c>
      <c r="L310" s="371">
        <f>IF(PolicyData[[#This Row],[ClaimFiled_Last5Yrs]]="Y",1,0)</f>
        <v>0</v>
      </c>
      <c r="M310" s="371">
        <f>IF(PolicyData[[#This Row],[Region]]="EAST",1,0)</f>
        <v>0</v>
      </c>
    </row>
    <row r="311" spans="1:13" ht="16" x14ac:dyDescent="0.2">
      <c r="A311" s="142" t="s">
        <v>601</v>
      </c>
      <c r="B311" s="143">
        <v>46142</v>
      </c>
      <c r="C311" s="142" t="s">
        <v>301</v>
      </c>
      <c r="D311" s="142">
        <v>2026</v>
      </c>
      <c r="E311" s="142">
        <v>35</v>
      </c>
      <c r="F311" s="144" t="s">
        <v>283</v>
      </c>
      <c r="G311" s="142" t="s">
        <v>85</v>
      </c>
      <c r="H311" s="146">
        <v>2850</v>
      </c>
      <c r="I311" s="142" t="s">
        <v>291</v>
      </c>
      <c r="J311" s="142" t="s">
        <v>291</v>
      </c>
      <c r="K311" s="142" t="s">
        <v>290</v>
      </c>
      <c r="L311" s="371">
        <f>IF(PolicyData[[#This Row],[ClaimFiled_Last5Yrs]]="Y",1,0)</f>
        <v>1</v>
      </c>
      <c r="M311" s="371">
        <f>IF(PolicyData[[#This Row],[Region]]="EAST",1,0)</f>
        <v>1</v>
      </c>
    </row>
    <row r="312" spans="1:13" ht="16" x14ac:dyDescent="0.2">
      <c r="A312" s="142" t="s">
        <v>602</v>
      </c>
      <c r="B312" s="143">
        <v>46165</v>
      </c>
      <c r="C312" s="142" t="s">
        <v>289</v>
      </c>
      <c r="D312" s="142">
        <v>2025</v>
      </c>
      <c r="E312" s="142">
        <v>81</v>
      </c>
      <c r="F312" s="144" t="s">
        <v>294</v>
      </c>
      <c r="G312" s="142" t="s">
        <v>87</v>
      </c>
      <c r="H312" s="146">
        <v>780</v>
      </c>
      <c r="I312" s="142" t="s">
        <v>290</v>
      </c>
      <c r="J312" s="142" t="s">
        <v>291</v>
      </c>
      <c r="K312" s="142" t="s">
        <v>290</v>
      </c>
      <c r="L312" s="371">
        <f>IF(PolicyData[[#This Row],[ClaimFiled_Last5Yrs]]="Y",1,0)</f>
        <v>0</v>
      </c>
      <c r="M312" s="371">
        <f>IF(PolicyData[[#This Row],[Region]]="EAST",1,0)</f>
        <v>0</v>
      </c>
    </row>
    <row r="313" spans="1:13" ht="16" x14ac:dyDescent="0.2">
      <c r="A313" s="142" t="s">
        <v>603</v>
      </c>
      <c r="B313" s="143">
        <v>46181</v>
      </c>
      <c r="C313" s="142" t="s">
        <v>292</v>
      </c>
      <c r="D313" s="142">
        <v>2026</v>
      </c>
      <c r="E313" s="142">
        <v>42</v>
      </c>
      <c r="F313" s="144" t="s">
        <v>282</v>
      </c>
      <c r="G313" s="142" t="s">
        <v>85</v>
      </c>
      <c r="H313" s="145">
        <v>2130</v>
      </c>
      <c r="I313" s="142" t="s">
        <v>290</v>
      </c>
      <c r="J313" s="142" t="s">
        <v>291</v>
      </c>
      <c r="K313" s="142" t="s">
        <v>290</v>
      </c>
      <c r="L313" s="371">
        <f>IF(PolicyData[[#This Row],[ClaimFiled_Last5Yrs]]="Y",1,0)</f>
        <v>0</v>
      </c>
      <c r="M313" s="371">
        <f>IF(PolicyData[[#This Row],[Region]]="EAST",1,0)</f>
        <v>0</v>
      </c>
    </row>
    <row r="314" spans="1:13" ht="16" x14ac:dyDescent="0.2">
      <c r="A314" s="142" t="s">
        <v>604</v>
      </c>
      <c r="B314" s="143">
        <v>46223</v>
      </c>
      <c r="C314" s="142" t="s">
        <v>293</v>
      </c>
      <c r="D314" s="142">
        <v>2026</v>
      </c>
      <c r="E314" s="142">
        <v>56</v>
      </c>
      <c r="F314" s="144" t="s">
        <v>281</v>
      </c>
      <c r="G314" s="142" t="s">
        <v>90</v>
      </c>
      <c r="H314" s="146">
        <v>1700</v>
      </c>
      <c r="I314" s="142" t="s">
        <v>291</v>
      </c>
      <c r="J314" s="142" t="s">
        <v>291</v>
      </c>
      <c r="K314" s="142" t="s">
        <v>290</v>
      </c>
      <c r="L314" s="371">
        <f>IF(PolicyData[[#This Row],[ClaimFiled_Last5Yrs]]="Y",1,0)</f>
        <v>1</v>
      </c>
      <c r="M314" s="371">
        <f>IF(PolicyData[[#This Row],[Region]]="EAST",1,0)</f>
        <v>0</v>
      </c>
    </row>
    <row r="315" spans="1:13" ht="16" x14ac:dyDescent="0.2">
      <c r="A315" s="142" t="s">
        <v>605</v>
      </c>
      <c r="B315" s="143">
        <v>46238</v>
      </c>
      <c r="C315" s="142" t="s">
        <v>295</v>
      </c>
      <c r="D315" s="142">
        <v>2026</v>
      </c>
      <c r="E315" s="142">
        <v>29</v>
      </c>
      <c r="F315" s="144" t="s">
        <v>283</v>
      </c>
      <c r="G315" s="142" t="s">
        <v>85</v>
      </c>
      <c r="H315" s="145">
        <v>3300</v>
      </c>
      <c r="I315" s="142" t="s">
        <v>290</v>
      </c>
      <c r="J315" s="142" t="s">
        <v>290</v>
      </c>
      <c r="K315" s="142" t="s">
        <v>291</v>
      </c>
      <c r="L315" s="371">
        <f>IF(PolicyData[[#This Row],[ClaimFiled_Last5Yrs]]="Y",1,0)</f>
        <v>0</v>
      </c>
      <c r="M315" s="371">
        <f>IF(PolicyData[[#This Row],[Region]]="EAST",1,0)</f>
        <v>1</v>
      </c>
    </row>
    <row r="316" spans="1:13" ht="16" x14ac:dyDescent="0.2">
      <c r="A316" s="142" t="s">
        <v>606</v>
      </c>
      <c r="B316" s="143">
        <v>46283</v>
      </c>
      <c r="C316" s="142" t="s">
        <v>296</v>
      </c>
      <c r="D316" s="142">
        <v>2025</v>
      </c>
      <c r="E316" s="142">
        <v>78</v>
      </c>
      <c r="F316" s="144" t="s">
        <v>294</v>
      </c>
      <c r="G316" s="142" t="s">
        <v>87</v>
      </c>
      <c r="H316" s="146">
        <v>1390</v>
      </c>
      <c r="I316" s="142" t="s">
        <v>290</v>
      </c>
      <c r="J316" s="142" t="s">
        <v>291</v>
      </c>
      <c r="K316" s="142" t="s">
        <v>290</v>
      </c>
      <c r="L316" s="371">
        <f>IF(PolicyData[[#This Row],[ClaimFiled_Last5Yrs]]="Y",1,0)</f>
        <v>0</v>
      </c>
      <c r="M316" s="371">
        <f>IF(PolicyData[[#This Row],[Region]]="EAST",1,0)</f>
        <v>0</v>
      </c>
    </row>
    <row r="317" spans="1:13" ht="16" x14ac:dyDescent="0.2">
      <c r="A317" s="142" t="s">
        <v>607</v>
      </c>
      <c r="B317" s="143">
        <v>46326</v>
      </c>
      <c r="C317" s="142" t="s">
        <v>297</v>
      </c>
      <c r="D317" s="142">
        <v>2026</v>
      </c>
      <c r="E317" s="142">
        <v>44</v>
      </c>
      <c r="F317" s="144" t="s">
        <v>282</v>
      </c>
      <c r="G317" s="142" t="s">
        <v>85</v>
      </c>
      <c r="H317" s="145">
        <v>2550</v>
      </c>
      <c r="I317" s="142" t="s">
        <v>290</v>
      </c>
      <c r="J317" s="142" t="s">
        <v>291</v>
      </c>
      <c r="K317" s="142" t="s">
        <v>290</v>
      </c>
      <c r="L317" s="371">
        <f>IF(PolicyData[[#This Row],[ClaimFiled_Last5Yrs]]="Y",1,0)</f>
        <v>0</v>
      </c>
      <c r="M317" s="371">
        <f>IF(PolicyData[[#This Row],[Region]]="EAST",1,0)</f>
        <v>0</v>
      </c>
    </row>
    <row r="318" spans="1:13" ht="16" x14ac:dyDescent="0.2">
      <c r="A318" s="142" t="s">
        <v>608</v>
      </c>
      <c r="B318" s="143">
        <v>45972</v>
      </c>
      <c r="C318" s="142" t="s">
        <v>298</v>
      </c>
      <c r="D318" s="142">
        <v>2026</v>
      </c>
      <c r="E318" s="142">
        <v>87</v>
      </c>
      <c r="F318" s="144" t="s">
        <v>281</v>
      </c>
      <c r="G318" s="142" t="s">
        <v>87</v>
      </c>
      <c r="H318" s="145">
        <v>930</v>
      </c>
      <c r="I318" s="142" t="s">
        <v>290</v>
      </c>
      <c r="J318" s="142" t="s">
        <v>291</v>
      </c>
      <c r="K318" s="142" t="s">
        <v>290</v>
      </c>
      <c r="L318" s="371">
        <f>IF(PolicyData[[#This Row],[ClaimFiled_Last5Yrs]]="Y",1,0)</f>
        <v>0</v>
      </c>
      <c r="M318" s="371">
        <f>IF(PolicyData[[#This Row],[Region]]="EAST",1,0)</f>
        <v>0</v>
      </c>
    </row>
    <row r="319" spans="1:13" ht="16" x14ac:dyDescent="0.2">
      <c r="A319" s="142" t="s">
        <v>609</v>
      </c>
      <c r="B319" s="143">
        <v>46077</v>
      </c>
      <c r="C319" s="142" t="s">
        <v>299</v>
      </c>
      <c r="D319" s="142">
        <v>2026</v>
      </c>
      <c r="E319" s="142">
        <v>47</v>
      </c>
      <c r="F319" s="144" t="s">
        <v>283</v>
      </c>
      <c r="G319" s="142" t="s">
        <v>85</v>
      </c>
      <c r="H319" s="145">
        <v>2450</v>
      </c>
      <c r="I319" s="142" t="s">
        <v>291</v>
      </c>
      <c r="J319" s="142" t="s">
        <v>291</v>
      </c>
      <c r="K319" s="142" t="s">
        <v>290</v>
      </c>
      <c r="L319" s="371">
        <f>IF(PolicyData[[#This Row],[ClaimFiled_Last5Yrs]]="Y",1,0)</f>
        <v>1</v>
      </c>
      <c r="M319" s="371">
        <f>IF(PolicyData[[#This Row],[Region]]="EAST",1,0)</f>
        <v>1</v>
      </c>
    </row>
    <row r="320" spans="1:13" ht="16" x14ac:dyDescent="0.2">
      <c r="A320" s="142" t="s">
        <v>610</v>
      </c>
      <c r="B320" s="143">
        <v>46090</v>
      </c>
      <c r="C320" s="142" t="s">
        <v>300</v>
      </c>
      <c r="D320" s="142">
        <v>2026</v>
      </c>
      <c r="E320" s="142">
        <v>72</v>
      </c>
      <c r="F320" s="144" t="s">
        <v>294</v>
      </c>
      <c r="G320" s="142" t="s">
        <v>90</v>
      </c>
      <c r="H320" s="145">
        <v>1900</v>
      </c>
      <c r="I320" s="142" t="s">
        <v>290</v>
      </c>
      <c r="J320" s="142" t="s">
        <v>291</v>
      </c>
      <c r="K320" s="142" t="s">
        <v>290</v>
      </c>
      <c r="L320" s="371">
        <f>IF(PolicyData[[#This Row],[ClaimFiled_Last5Yrs]]="Y",1,0)</f>
        <v>0</v>
      </c>
      <c r="M320" s="371">
        <f>IF(PolicyData[[#This Row],[Region]]="EAST",1,0)</f>
        <v>0</v>
      </c>
    </row>
    <row r="321" spans="1:13" ht="16" x14ac:dyDescent="0.2">
      <c r="A321" s="142" t="s">
        <v>611</v>
      </c>
      <c r="B321" s="143">
        <v>46139</v>
      </c>
      <c r="C321" s="142" t="s">
        <v>301</v>
      </c>
      <c r="D321" s="142">
        <v>2026</v>
      </c>
      <c r="E321" s="142">
        <v>38</v>
      </c>
      <c r="F321" s="144" t="s">
        <v>282</v>
      </c>
      <c r="G321" s="142" t="s">
        <v>85</v>
      </c>
      <c r="H321" s="146">
        <v>2850</v>
      </c>
      <c r="I321" s="142" t="s">
        <v>291</v>
      </c>
      <c r="J321" s="142" t="s">
        <v>290</v>
      </c>
      <c r="K321" s="142" t="s">
        <v>290</v>
      </c>
      <c r="L321" s="371">
        <f>IF(PolicyData[[#This Row],[ClaimFiled_Last5Yrs]]="Y",1,0)</f>
        <v>1</v>
      </c>
      <c r="M321" s="371">
        <f>IF(PolicyData[[#This Row],[Region]]="EAST",1,0)</f>
        <v>0</v>
      </c>
    </row>
    <row r="322" spans="1:13" ht="16" x14ac:dyDescent="0.2">
      <c r="A322" s="142" t="s">
        <v>612</v>
      </c>
      <c r="B322" s="143">
        <v>46161</v>
      </c>
      <c r="C322" s="142" t="s">
        <v>289</v>
      </c>
      <c r="D322" s="142">
        <v>2026</v>
      </c>
      <c r="E322" s="142">
        <v>52</v>
      </c>
      <c r="F322" s="144" t="s">
        <v>281</v>
      </c>
      <c r="G322" s="142" t="s">
        <v>85</v>
      </c>
      <c r="H322" s="146">
        <v>2250</v>
      </c>
      <c r="I322" s="142" t="s">
        <v>290</v>
      </c>
      <c r="J322" s="142" t="s">
        <v>291</v>
      </c>
      <c r="K322" s="142" t="s">
        <v>290</v>
      </c>
      <c r="L322" s="371">
        <f>IF(PolicyData[[#This Row],[ClaimFiled_Last5Yrs]]="Y",1,0)</f>
        <v>0</v>
      </c>
      <c r="M322" s="371">
        <f>IF(PolicyData[[#This Row],[Region]]="EAST",1,0)</f>
        <v>0</v>
      </c>
    </row>
    <row r="323" spans="1:13" ht="16" x14ac:dyDescent="0.2">
      <c r="A323" s="142" t="s">
        <v>613</v>
      </c>
      <c r="B323" s="143">
        <v>46208</v>
      </c>
      <c r="C323" s="142" t="s">
        <v>292</v>
      </c>
      <c r="D323" s="142">
        <v>2026</v>
      </c>
      <c r="E323" s="142">
        <v>62</v>
      </c>
      <c r="F323" s="144" t="s">
        <v>283</v>
      </c>
      <c r="G323" s="142" t="s">
        <v>87</v>
      </c>
      <c r="H323" s="145">
        <v>1070</v>
      </c>
      <c r="I323" s="142" t="s">
        <v>290</v>
      </c>
      <c r="J323" s="142" t="s">
        <v>291</v>
      </c>
      <c r="K323" s="142" t="s">
        <v>291</v>
      </c>
      <c r="L323" s="371">
        <f>IF(PolicyData[[#This Row],[ClaimFiled_Last5Yrs]]="Y",1,0)</f>
        <v>0</v>
      </c>
      <c r="M323" s="371">
        <f>IF(PolicyData[[#This Row],[Region]]="EAST",1,0)</f>
        <v>1</v>
      </c>
    </row>
    <row r="324" spans="1:13" ht="16" x14ac:dyDescent="0.2">
      <c r="A324" s="142" t="s">
        <v>614</v>
      </c>
      <c r="B324" s="143">
        <v>46256</v>
      </c>
      <c r="C324" s="142" t="s">
        <v>293</v>
      </c>
      <c r="D324" s="142">
        <v>2026</v>
      </c>
      <c r="E324" s="142">
        <v>31</v>
      </c>
      <c r="F324" s="144" t="s">
        <v>294</v>
      </c>
      <c r="G324" s="142" t="s">
        <v>85</v>
      </c>
      <c r="H324" s="145">
        <v>3150</v>
      </c>
      <c r="I324" s="142" t="s">
        <v>291</v>
      </c>
      <c r="J324" s="142" t="s">
        <v>290</v>
      </c>
      <c r="K324" s="142" t="s">
        <v>290</v>
      </c>
      <c r="L324" s="371">
        <f>IF(PolicyData[[#This Row],[ClaimFiled_Last5Yrs]]="Y",1,0)</f>
        <v>1</v>
      </c>
      <c r="M324" s="371">
        <f>IF(PolicyData[[#This Row],[Region]]="EAST",1,0)</f>
        <v>0</v>
      </c>
    </row>
    <row r="325" spans="1:13" ht="16" x14ac:dyDescent="0.2">
      <c r="A325" s="142" t="s">
        <v>615</v>
      </c>
      <c r="B325" s="143">
        <v>46281</v>
      </c>
      <c r="C325" s="142" t="s">
        <v>295</v>
      </c>
      <c r="D325" s="142">
        <v>2026</v>
      </c>
      <c r="E325" s="142">
        <v>73</v>
      </c>
      <c r="F325" s="144" t="s">
        <v>282</v>
      </c>
      <c r="G325" s="142" t="s">
        <v>90</v>
      </c>
      <c r="H325" s="146">
        <v>1210</v>
      </c>
      <c r="I325" s="142" t="s">
        <v>290</v>
      </c>
      <c r="J325" s="142" t="s">
        <v>291</v>
      </c>
      <c r="K325" s="142" t="s">
        <v>290</v>
      </c>
      <c r="L325" s="371">
        <f>IF(PolicyData[[#This Row],[ClaimFiled_Last5Yrs]]="Y",1,0)</f>
        <v>0</v>
      </c>
      <c r="M325" s="371">
        <f>IF(PolicyData[[#This Row],[Region]]="EAST",1,0)</f>
        <v>0</v>
      </c>
    </row>
    <row r="326" spans="1:13" ht="16" x14ac:dyDescent="0.2">
      <c r="A326" s="142" t="s">
        <v>616</v>
      </c>
      <c r="B326" s="143">
        <v>46319</v>
      </c>
      <c r="C326" s="142" t="s">
        <v>296</v>
      </c>
      <c r="D326" s="142">
        <v>2026</v>
      </c>
      <c r="E326" s="142">
        <v>55</v>
      </c>
      <c r="F326" s="144" t="s">
        <v>281</v>
      </c>
      <c r="G326" s="142" t="s">
        <v>85</v>
      </c>
      <c r="H326" s="145">
        <v>2750</v>
      </c>
      <c r="I326" s="142" t="s">
        <v>290</v>
      </c>
      <c r="J326" s="142" t="s">
        <v>291</v>
      </c>
      <c r="K326" s="142" t="s">
        <v>290</v>
      </c>
      <c r="L326" s="371">
        <f>IF(PolicyData[[#This Row],[ClaimFiled_Last5Yrs]]="Y",1,0)</f>
        <v>0</v>
      </c>
      <c r="M326" s="371">
        <f>IF(PolicyData[[#This Row],[Region]]="EAST",1,0)</f>
        <v>0</v>
      </c>
    </row>
    <row r="327" spans="1:13" ht="16" x14ac:dyDescent="0.2">
      <c r="A327" s="142" t="s">
        <v>617</v>
      </c>
      <c r="B327" s="143">
        <v>45969</v>
      </c>
      <c r="C327" s="142" t="s">
        <v>297</v>
      </c>
      <c r="D327" s="142">
        <v>2025</v>
      </c>
      <c r="E327" s="142">
        <v>79</v>
      </c>
      <c r="F327" s="144" t="s">
        <v>283</v>
      </c>
      <c r="G327" s="142" t="s">
        <v>87</v>
      </c>
      <c r="H327" s="145">
        <v>930</v>
      </c>
      <c r="I327" s="142" t="s">
        <v>290</v>
      </c>
      <c r="J327" s="142" t="s">
        <v>291</v>
      </c>
      <c r="K327" s="142" t="s">
        <v>290</v>
      </c>
      <c r="L327" s="371">
        <f>IF(PolicyData[[#This Row],[ClaimFiled_Last5Yrs]]="Y",1,0)</f>
        <v>0</v>
      </c>
      <c r="M327" s="371">
        <f>IF(PolicyData[[#This Row],[Region]]="EAST",1,0)</f>
        <v>1</v>
      </c>
    </row>
    <row r="328" spans="1:13" ht="16" x14ac:dyDescent="0.2">
      <c r="A328" s="142" t="s">
        <v>618</v>
      </c>
      <c r="B328" s="143">
        <v>46047</v>
      </c>
      <c r="C328" s="142" t="s">
        <v>298</v>
      </c>
      <c r="D328" s="142">
        <v>2026</v>
      </c>
      <c r="E328" s="142">
        <v>42</v>
      </c>
      <c r="F328" s="144" t="s">
        <v>282</v>
      </c>
      <c r="G328" s="142" t="s">
        <v>85</v>
      </c>
      <c r="H328" s="146">
        <v>2600</v>
      </c>
      <c r="I328" s="142" t="s">
        <v>291</v>
      </c>
      <c r="J328" s="142" t="s">
        <v>290</v>
      </c>
      <c r="K328" s="142" t="s">
        <v>290</v>
      </c>
      <c r="L328" s="371">
        <f>IF(PolicyData[[#This Row],[ClaimFiled_Last5Yrs]]="Y",1,0)</f>
        <v>1</v>
      </c>
      <c r="M328" s="371">
        <f>IF(PolicyData[[#This Row],[Region]]="EAST",1,0)</f>
        <v>0</v>
      </c>
    </row>
    <row r="329" spans="1:13" ht="16" x14ac:dyDescent="0.2">
      <c r="A329" s="142" t="s">
        <v>619</v>
      </c>
      <c r="B329" s="143">
        <v>46067</v>
      </c>
      <c r="C329" s="142" t="s">
        <v>299</v>
      </c>
      <c r="D329" s="142">
        <v>2026</v>
      </c>
      <c r="E329" s="142">
        <v>73</v>
      </c>
      <c r="F329" s="144" t="s">
        <v>294</v>
      </c>
      <c r="G329" s="142" t="s">
        <v>85</v>
      </c>
      <c r="H329" s="146">
        <v>2400</v>
      </c>
      <c r="I329" s="142" t="s">
        <v>290</v>
      </c>
      <c r="J329" s="142" t="s">
        <v>291</v>
      </c>
      <c r="K329" s="142" t="s">
        <v>290</v>
      </c>
      <c r="L329" s="371">
        <f>IF(PolicyData[[#This Row],[ClaimFiled_Last5Yrs]]="Y",1,0)</f>
        <v>0</v>
      </c>
      <c r="M329" s="371">
        <f>IF(PolicyData[[#This Row],[Region]]="EAST",1,0)</f>
        <v>0</v>
      </c>
    </row>
    <row r="330" spans="1:13" ht="16" x14ac:dyDescent="0.2">
      <c r="A330" s="142" t="s">
        <v>620</v>
      </c>
      <c r="B330" s="143">
        <v>46108</v>
      </c>
      <c r="C330" s="142" t="s">
        <v>300</v>
      </c>
      <c r="D330" s="142">
        <v>2026</v>
      </c>
      <c r="E330" s="142">
        <v>51</v>
      </c>
      <c r="F330" s="144" t="s">
        <v>281</v>
      </c>
      <c r="G330" s="142" t="s">
        <v>87</v>
      </c>
      <c r="H330" s="145">
        <v>1230</v>
      </c>
      <c r="I330" s="142" t="s">
        <v>291</v>
      </c>
      <c r="J330" s="142" t="s">
        <v>291</v>
      </c>
      <c r="K330" s="142" t="s">
        <v>291</v>
      </c>
      <c r="L330" s="371">
        <f>IF(PolicyData[[#This Row],[ClaimFiled_Last5Yrs]]="Y",1,0)</f>
        <v>1</v>
      </c>
      <c r="M330" s="371">
        <f>IF(PolicyData[[#This Row],[Region]]="EAST",1,0)</f>
        <v>0</v>
      </c>
    </row>
    <row r="331" spans="1:13" ht="16" x14ac:dyDescent="0.2">
      <c r="A331" s="142" t="s">
        <v>621</v>
      </c>
      <c r="B331" s="143">
        <v>46123</v>
      </c>
      <c r="C331" s="142" t="s">
        <v>301</v>
      </c>
      <c r="D331" s="142">
        <v>2026</v>
      </c>
      <c r="E331" s="142">
        <v>36</v>
      </c>
      <c r="F331" s="144" t="s">
        <v>283</v>
      </c>
      <c r="G331" s="142" t="s">
        <v>85</v>
      </c>
      <c r="H331" s="145">
        <v>2950</v>
      </c>
      <c r="I331" s="142" t="s">
        <v>290</v>
      </c>
      <c r="J331" s="142" t="s">
        <v>291</v>
      </c>
      <c r="K331" s="142" t="s">
        <v>290</v>
      </c>
      <c r="L331" s="371">
        <f>IF(PolicyData[[#This Row],[ClaimFiled_Last5Yrs]]="Y",1,0)</f>
        <v>0</v>
      </c>
      <c r="M331" s="371">
        <f>IF(PolicyData[[#This Row],[Region]]="EAST",1,0)</f>
        <v>1</v>
      </c>
    </row>
    <row r="332" spans="1:13" ht="16" x14ac:dyDescent="0.2">
      <c r="A332" s="142" t="s">
        <v>622</v>
      </c>
      <c r="B332" s="143">
        <v>46165</v>
      </c>
      <c r="C332" s="142" t="s">
        <v>289</v>
      </c>
      <c r="D332" s="142">
        <v>2026</v>
      </c>
      <c r="E332" s="142">
        <v>82</v>
      </c>
      <c r="F332" s="144" t="s">
        <v>294</v>
      </c>
      <c r="G332" s="142" t="s">
        <v>87</v>
      </c>
      <c r="H332" s="146">
        <v>810</v>
      </c>
      <c r="I332" s="142" t="s">
        <v>290</v>
      </c>
      <c r="J332" s="142" t="s">
        <v>291</v>
      </c>
      <c r="K332" s="142" t="s">
        <v>290</v>
      </c>
      <c r="L332" s="371">
        <f>IF(PolicyData[[#This Row],[ClaimFiled_Last5Yrs]]="Y",1,0)</f>
        <v>0</v>
      </c>
      <c r="M332" s="371">
        <f>IF(PolicyData[[#This Row],[Region]]="EAST",1,0)</f>
        <v>0</v>
      </c>
    </row>
    <row r="333" spans="1:13" ht="16" x14ac:dyDescent="0.2">
      <c r="A333" s="142" t="s">
        <v>623</v>
      </c>
      <c r="B333" s="143">
        <v>46206</v>
      </c>
      <c r="C333" s="142" t="s">
        <v>292</v>
      </c>
      <c r="D333" s="142">
        <v>2026</v>
      </c>
      <c r="E333" s="142">
        <v>43</v>
      </c>
      <c r="F333" s="144" t="s">
        <v>282</v>
      </c>
      <c r="G333" s="142" t="s">
        <v>85</v>
      </c>
      <c r="H333" s="146">
        <v>2180</v>
      </c>
      <c r="I333" s="142" t="s">
        <v>290</v>
      </c>
      <c r="J333" s="142" t="s">
        <v>291</v>
      </c>
      <c r="K333" s="142" t="s">
        <v>290</v>
      </c>
      <c r="L333" s="371">
        <f>IF(PolicyData[[#This Row],[ClaimFiled_Last5Yrs]]="Y",1,0)</f>
        <v>0</v>
      </c>
      <c r="M333" s="371">
        <f>IF(PolicyData[[#This Row],[Region]]="EAST",1,0)</f>
        <v>0</v>
      </c>
    </row>
    <row r="334" spans="1:13" ht="16" x14ac:dyDescent="0.2">
      <c r="A334" s="142" t="s">
        <v>624</v>
      </c>
      <c r="B334" s="143">
        <v>46255</v>
      </c>
      <c r="C334" s="142" t="s">
        <v>293</v>
      </c>
      <c r="D334" s="142">
        <v>2026</v>
      </c>
      <c r="E334" s="142">
        <v>57</v>
      </c>
      <c r="F334" s="144" t="s">
        <v>281</v>
      </c>
      <c r="G334" s="142" t="s">
        <v>90</v>
      </c>
      <c r="H334" s="146">
        <v>1800</v>
      </c>
      <c r="I334" s="142" t="s">
        <v>291</v>
      </c>
      <c r="J334" s="142" t="s">
        <v>291</v>
      </c>
      <c r="K334" s="142" t="s">
        <v>290</v>
      </c>
      <c r="L334" s="371">
        <f>IF(PolicyData[[#This Row],[ClaimFiled_Last5Yrs]]="Y",1,0)</f>
        <v>1</v>
      </c>
      <c r="M334" s="371">
        <f>IF(PolicyData[[#This Row],[Region]]="EAST",1,0)</f>
        <v>0</v>
      </c>
    </row>
    <row r="335" spans="1:13" ht="16" x14ac:dyDescent="0.2">
      <c r="A335" s="142" t="s">
        <v>625</v>
      </c>
      <c r="B335" s="143">
        <v>46289</v>
      </c>
      <c r="C335" s="142" t="s">
        <v>295</v>
      </c>
      <c r="D335" s="142">
        <v>2026</v>
      </c>
      <c r="E335" s="142">
        <v>30</v>
      </c>
      <c r="F335" s="144" t="s">
        <v>283</v>
      </c>
      <c r="G335" s="142" t="s">
        <v>85</v>
      </c>
      <c r="H335" s="145">
        <v>3350</v>
      </c>
      <c r="I335" s="142" t="s">
        <v>290</v>
      </c>
      <c r="J335" s="142" t="s">
        <v>290</v>
      </c>
      <c r="K335" s="142" t="s">
        <v>291</v>
      </c>
      <c r="L335" s="371">
        <f>IF(PolicyData[[#This Row],[ClaimFiled_Last5Yrs]]="Y",1,0)</f>
        <v>0</v>
      </c>
      <c r="M335" s="371">
        <f>IF(PolicyData[[#This Row],[Region]]="EAST",1,0)</f>
        <v>1</v>
      </c>
    </row>
    <row r="336" spans="1:13" ht="16" x14ac:dyDescent="0.2">
      <c r="A336" s="142" t="s">
        <v>626</v>
      </c>
      <c r="B336" s="143">
        <v>45974</v>
      </c>
      <c r="C336" s="142" t="s">
        <v>296</v>
      </c>
      <c r="D336" s="142">
        <v>2026</v>
      </c>
      <c r="E336" s="142">
        <v>80</v>
      </c>
      <c r="F336" s="144" t="s">
        <v>294</v>
      </c>
      <c r="G336" s="142" t="s">
        <v>87</v>
      </c>
      <c r="H336" s="146">
        <v>1430</v>
      </c>
      <c r="I336" s="142" t="s">
        <v>290</v>
      </c>
      <c r="J336" s="142" t="s">
        <v>291</v>
      </c>
      <c r="K336" s="142" t="s">
        <v>290</v>
      </c>
      <c r="L336" s="371">
        <f>IF(PolicyData[[#This Row],[ClaimFiled_Last5Yrs]]="Y",1,0)</f>
        <v>0</v>
      </c>
      <c r="M336" s="371">
        <f>IF(PolicyData[[#This Row],[Region]]="EAST",1,0)</f>
        <v>0</v>
      </c>
    </row>
    <row r="337" spans="1:13" ht="16" x14ac:dyDescent="0.2">
      <c r="A337" s="142" t="s">
        <v>627</v>
      </c>
      <c r="B337" s="143">
        <v>46051</v>
      </c>
      <c r="C337" s="142" t="s">
        <v>297</v>
      </c>
      <c r="D337" s="142">
        <v>2026</v>
      </c>
      <c r="E337" s="142">
        <v>45</v>
      </c>
      <c r="F337" s="144" t="s">
        <v>282</v>
      </c>
      <c r="G337" s="142" t="s">
        <v>85</v>
      </c>
      <c r="H337" s="145">
        <v>2650</v>
      </c>
      <c r="I337" s="142" t="s">
        <v>290</v>
      </c>
      <c r="J337" s="142" t="s">
        <v>291</v>
      </c>
      <c r="K337" s="142" t="s">
        <v>290</v>
      </c>
      <c r="L337" s="371">
        <f>IF(PolicyData[[#This Row],[ClaimFiled_Last5Yrs]]="Y",1,0)</f>
        <v>0</v>
      </c>
      <c r="M337" s="371">
        <f>IF(PolicyData[[#This Row],[Region]]="EAST",1,0)</f>
        <v>0</v>
      </c>
    </row>
    <row r="338" spans="1:13" ht="16" x14ac:dyDescent="0.2">
      <c r="A338" s="142" t="s">
        <v>628</v>
      </c>
      <c r="B338" s="143">
        <v>46069</v>
      </c>
      <c r="C338" s="142" t="s">
        <v>298</v>
      </c>
      <c r="D338" s="142">
        <v>2026</v>
      </c>
      <c r="E338" s="142">
        <v>88</v>
      </c>
      <c r="F338" s="144" t="s">
        <v>281</v>
      </c>
      <c r="G338" s="142" t="s">
        <v>87</v>
      </c>
      <c r="H338" s="145">
        <v>960</v>
      </c>
      <c r="I338" s="142" t="s">
        <v>290</v>
      </c>
      <c r="J338" s="142" t="s">
        <v>291</v>
      </c>
      <c r="K338" s="142" t="s">
        <v>290</v>
      </c>
      <c r="L338" s="371">
        <f>IF(PolicyData[[#This Row],[ClaimFiled_Last5Yrs]]="Y",1,0)</f>
        <v>0</v>
      </c>
      <c r="M338" s="371">
        <f>IF(PolicyData[[#This Row],[Region]]="EAST",1,0)</f>
        <v>0</v>
      </c>
    </row>
    <row r="339" spans="1:13" ht="16" x14ac:dyDescent="0.2">
      <c r="A339" s="142" t="s">
        <v>629</v>
      </c>
      <c r="B339" s="143">
        <v>46086</v>
      </c>
      <c r="C339" s="142" t="s">
        <v>299</v>
      </c>
      <c r="D339" s="142">
        <v>2026</v>
      </c>
      <c r="E339" s="142">
        <v>48</v>
      </c>
      <c r="F339" s="144" t="s">
        <v>283</v>
      </c>
      <c r="G339" s="142" t="s">
        <v>85</v>
      </c>
      <c r="H339" s="146">
        <v>2500</v>
      </c>
      <c r="I339" s="142" t="s">
        <v>291</v>
      </c>
      <c r="J339" s="142" t="s">
        <v>291</v>
      </c>
      <c r="K339" s="142" t="s">
        <v>290</v>
      </c>
      <c r="L339" s="371">
        <f>IF(PolicyData[[#This Row],[ClaimFiled_Last5Yrs]]="Y",1,0)</f>
        <v>1</v>
      </c>
      <c r="M339" s="371">
        <f>IF(PolicyData[[#This Row],[Region]]="EAST",1,0)</f>
        <v>1</v>
      </c>
    </row>
    <row r="340" spans="1:13" ht="16" x14ac:dyDescent="0.2">
      <c r="A340" s="142" t="s">
        <v>630</v>
      </c>
      <c r="B340" s="143">
        <v>46130</v>
      </c>
      <c r="C340" s="142" t="s">
        <v>300</v>
      </c>
      <c r="D340" s="142">
        <v>2026</v>
      </c>
      <c r="E340" s="142">
        <v>74</v>
      </c>
      <c r="F340" s="144" t="s">
        <v>294</v>
      </c>
      <c r="G340" s="142" t="s">
        <v>90</v>
      </c>
      <c r="H340" s="146">
        <v>2000</v>
      </c>
      <c r="I340" s="142" t="s">
        <v>290</v>
      </c>
      <c r="J340" s="142" t="s">
        <v>291</v>
      </c>
      <c r="K340" s="142" t="s">
        <v>290</v>
      </c>
      <c r="L340" s="371">
        <f>IF(PolicyData[[#This Row],[ClaimFiled_Last5Yrs]]="Y",1,0)</f>
        <v>0</v>
      </c>
      <c r="M340" s="371">
        <f>IF(PolicyData[[#This Row],[Region]]="EAST",1,0)</f>
        <v>0</v>
      </c>
    </row>
    <row r="341" spans="1:13" ht="16" x14ac:dyDescent="0.2">
      <c r="A341" s="142" t="s">
        <v>631</v>
      </c>
      <c r="B341" s="143">
        <v>46173</v>
      </c>
      <c r="C341" s="142" t="s">
        <v>301</v>
      </c>
      <c r="D341" s="142">
        <v>2026</v>
      </c>
      <c r="E341" s="142">
        <v>39</v>
      </c>
      <c r="F341" s="144" t="s">
        <v>282</v>
      </c>
      <c r="G341" s="142" t="s">
        <v>85</v>
      </c>
      <c r="H341" s="145">
        <v>2900</v>
      </c>
      <c r="I341" s="142" t="s">
        <v>291</v>
      </c>
      <c r="J341" s="142" t="s">
        <v>290</v>
      </c>
      <c r="K341" s="142" t="s">
        <v>290</v>
      </c>
      <c r="L341" s="371">
        <f>IF(PolicyData[[#This Row],[ClaimFiled_Last5Yrs]]="Y",1,0)</f>
        <v>1</v>
      </c>
      <c r="M341" s="371">
        <f>IF(PolicyData[[#This Row],[Region]]="EAST",1,0)</f>
        <v>0</v>
      </c>
    </row>
    <row r="342" spans="1:13" ht="16" x14ac:dyDescent="0.2">
      <c r="A342" s="142" t="s">
        <v>632</v>
      </c>
      <c r="B342" s="143">
        <v>46223</v>
      </c>
      <c r="C342" s="142" t="s">
        <v>289</v>
      </c>
      <c r="D342" s="142">
        <v>2026</v>
      </c>
      <c r="E342" s="142">
        <v>53</v>
      </c>
      <c r="F342" s="144" t="s">
        <v>281</v>
      </c>
      <c r="G342" s="142" t="s">
        <v>85</v>
      </c>
      <c r="H342" s="145">
        <v>2300</v>
      </c>
      <c r="I342" s="142" t="s">
        <v>290</v>
      </c>
      <c r="J342" s="142" t="s">
        <v>291</v>
      </c>
      <c r="K342" s="142" t="s">
        <v>290</v>
      </c>
      <c r="L342" s="371">
        <f>IF(PolicyData[[#This Row],[ClaimFiled_Last5Yrs]]="Y",1,0)</f>
        <v>0</v>
      </c>
      <c r="M342" s="371">
        <f>IF(PolicyData[[#This Row],[Region]]="EAST",1,0)</f>
        <v>0</v>
      </c>
    </row>
    <row r="343" spans="1:13" ht="16" x14ac:dyDescent="0.2">
      <c r="A343" s="142" t="s">
        <v>633</v>
      </c>
      <c r="B343" s="143">
        <v>46243</v>
      </c>
      <c r="C343" s="142" t="s">
        <v>292</v>
      </c>
      <c r="D343" s="142">
        <v>2026</v>
      </c>
      <c r="E343" s="142">
        <v>63</v>
      </c>
      <c r="F343" s="144" t="s">
        <v>283</v>
      </c>
      <c r="G343" s="142" t="s">
        <v>87</v>
      </c>
      <c r="H343" s="145">
        <v>1100</v>
      </c>
      <c r="I343" s="142" t="s">
        <v>291</v>
      </c>
      <c r="J343" s="142" t="s">
        <v>291</v>
      </c>
      <c r="K343" s="142" t="s">
        <v>290</v>
      </c>
      <c r="L343" s="371">
        <f>IF(PolicyData[[#This Row],[ClaimFiled_Last5Yrs]]="Y",1,0)</f>
        <v>1</v>
      </c>
      <c r="M343" s="371">
        <f>IF(PolicyData[[#This Row],[Region]]="EAST",1,0)</f>
        <v>1</v>
      </c>
    </row>
    <row r="344" spans="1:13" ht="16" x14ac:dyDescent="0.2">
      <c r="A344" s="142" t="s">
        <v>634</v>
      </c>
      <c r="B344" s="143">
        <v>46291</v>
      </c>
      <c r="C344" s="142" t="s">
        <v>293</v>
      </c>
      <c r="D344" s="142">
        <v>2026</v>
      </c>
      <c r="E344" s="142">
        <v>32</v>
      </c>
      <c r="F344" s="144" t="s">
        <v>294</v>
      </c>
      <c r="G344" s="142" t="s">
        <v>85</v>
      </c>
      <c r="H344" s="146">
        <v>3200</v>
      </c>
      <c r="I344" s="142" t="s">
        <v>290</v>
      </c>
      <c r="J344" s="142" t="s">
        <v>290</v>
      </c>
      <c r="K344" s="142" t="s">
        <v>291</v>
      </c>
      <c r="L344" s="371">
        <f>IF(PolicyData[[#This Row],[ClaimFiled_Last5Yrs]]="Y",1,0)</f>
        <v>0</v>
      </c>
      <c r="M344" s="371">
        <f>IF(PolicyData[[#This Row],[Region]]="EAST",1,0)</f>
        <v>0</v>
      </c>
    </row>
    <row r="345" spans="1:13" ht="16" x14ac:dyDescent="0.2">
      <c r="A345" s="142" t="s">
        <v>635</v>
      </c>
      <c r="B345" s="143">
        <v>46316</v>
      </c>
      <c r="C345" s="142" t="s">
        <v>295</v>
      </c>
      <c r="D345" s="142">
        <v>2026</v>
      </c>
      <c r="E345" s="142">
        <v>75</v>
      </c>
      <c r="F345" s="144" t="s">
        <v>282</v>
      </c>
      <c r="G345" s="142" t="s">
        <v>90</v>
      </c>
      <c r="H345" s="146">
        <v>1240</v>
      </c>
      <c r="I345" s="142" t="s">
        <v>290</v>
      </c>
      <c r="J345" s="142" t="s">
        <v>291</v>
      </c>
      <c r="K345" s="142" t="s">
        <v>290</v>
      </c>
      <c r="L345" s="371">
        <f>IF(PolicyData[[#This Row],[ClaimFiled_Last5Yrs]]="Y",1,0)</f>
        <v>0</v>
      </c>
      <c r="M345" s="371">
        <f>IF(PolicyData[[#This Row],[Region]]="EAST",1,0)</f>
        <v>0</v>
      </c>
    </row>
    <row r="346" spans="1:13" ht="16" x14ac:dyDescent="0.2">
      <c r="A346" s="142" t="s">
        <v>636</v>
      </c>
      <c r="B346" s="143">
        <v>45963</v>
      </c>
      <c r="C346" s="142" t="s">
        <v>296</v>
      </c>
      <c r="D346" s="142">
        <v>2026</v>
      </c>
      <c r="E346" s="142">
        <v>56</v>
      </c>
      <c r="F346" s="144" t="s">
        <v>281</v>
      </c>
      <c r="G346" s="142" t="s">
        <v>85</v>
      </c>
      <c r="H346" s="146">
        <v>2850</v>
      </c>
      <c r="I346" s="142" t="s">
        <v>291</v>
      </c>
      <c r="J346" s="142" t="s">
        <v>291</v>
      </c>
      <c r="K346" s="142" t="s">
        <v>290</v>
      </c>
      <c r="L346" s="371">
        <f>IF(PolicyData[[#This Row],[ClaimFiled_Last5Yrs]]="Y",1,0)</f>
        <v>1</v>
      </c>
      <c r="M346" s="371">
        <f>IF(PolicyData[[#This Row],[Region]]="EAST",1,0)</f>
        <v>0</v>
      </c>
    </row>
    <row r="347" spans="1:13" ht="16" x14ac:dyDescent="0.2">
      <c r="A347" s="142" t="s">
        <v>637</v>
      </c>
      <c r="B347" s="143">
        <v>46016</v>
      </c>
      <c r="C347" s="142" t="s">
        <v>297</v>
      </c>
      <c r="D347" s="142">
        <v>2026</v>
      </c>
      <c r="E347" s="142">
        <v>81</v>
      </c>
      <c r="F347" s="144" t="s">
        <v>283</v>
      </c>
      <c r="G347" s="142" t="s">
        <v>87</v>
      </c>
      <c r="H347" s="146">
        <v>960</v>
      </c>
      <c r="I347" s="142" t="s">
        <v>290</v>
      </c>
      <c r="J347" s="142" t="s">
        <v>291</v>
      </c>
      <c r="K347" s="142" t="s">
        <v>290</v>
      </c>
      <c r="L347" s="371">
        <f>IF(PolicyData[[#This Row],[ClaimFiled_Last5Yrs]]="Y",1,0)</f>
        <v>0</v>
      </c>
      <c r="M347" s="371">
        <f>IF(PolicyData[[#This Row],[Region]]="EAST",1,0)</f>
        <v>1</v>
      </c>
    </row>
    <row r="348" spans="1:13" ht="16" x14ac:dyDescent="0.2">
      <c r="A348" s="142" t="s">
        <v>638</v>
      </c>
      <c r="B348" s="143">
        <v>46026</v>
      </c>
      <c r="C348" s="142" t="s">
        <v>298</v>
      </c>
      <c r="D348" s="142">
        <v>2026</v>
      </c>
      <c r="E348" s="142">
        <v>43</v>
      </c>
      <c r="F348" s="144" t="s">
        <v>282</v>
      </c>
      <c r="G348" s="142" t="s">
        <v>85</v>
      </c>
      <c r="H348" s="145">
        <v>2700</v>
      </c>
      <c r="I348" s="142" t="s">
        <v>290</v>
      </c>
      <c r="J348" s="142" t="s">
        <v>290</v>
      </c>
      <c r="K348" s="142" t="s">
        <v>290</v>
      </c>
      <c r="L348" s="371">
        <f>IF(PolicyData[[#This Row],[ClaimFiled_Last5Yrs]]="Y",1,0)</f>
        <v>0</v>
      </c>
      <c r="M348" s="371">
        <f>IF(PolicyData[[#This Row],[Region]]="EAST",1,0)</f>
        <v>0</v>
      </c>
    </row>
    <row r="349" spans="1:13" ht="16" x14ac:dyDescent="0.2">
      <c r="A349" s="142" t="s">
        <v>639</v>
      </c>
      <c r="B349" s="143">
        <v>46073</v>
      </c>
      <c r="C349" s="142" t="s">
        <v>299</v>
      </c>
      <c r="D349" s="142">
        <v>2026</v>
      </c>
      <c r="E349" s="142">
        <v>75</v>
      </c>
      <c r="F349" s="144" t="s">
        <v>294</v>
      </c>
      <c r="G349" s="142" t="s">
        <v>85</v>
      </c>
      <c r="H349" s="146">
        <v>2450</v>
      </c>
      <c r="I349" s="142" t="s">
        <v>290</v>
      </c>
      <c r="J349" s="142" t="s">
        <v>291</v>
      </c>
      <c r="K349" s="142" t="s">
        <v>290</v>
      </c>
      <c r="L349" s="371">
        <f>IF(PolicyData[[#This Row],[ClaimFiled_Last5Yrs]]="Y",1,0)</f>
        <v>0</v>
      </c>
      <c r="M349" s="371">
        <f>IF(PolicyData[[#This Row],[Region]]="EAST",1,0)</f>
        <v>0</v>
      </c>
    </row>
    <row r="350" spans="1:13" ht="16" x14ac:dyDescent="0.2">
      <c r="A350" s="142" t="s">
        <v>640</v>
      </c>
      <c r="B350" s="143">
        <v>46083</v>
      </c>
      <c r="C350" s="142" t="s">
        <v>300</v>
      </c>
      <c r="D350" s="142">
        <v>2026</v>
      </c>
      <c r="E350" s="142">
        <v>52</v>
      </c>
      <c r="F350" s="144" t="s">
        <v>281</v>
      </c>
      <c r="G350" s="142" t="s">
        <v>87</v>
      </c>
      <c r="H350" s="146">
        <v>1260</v>
      </c>
      <c r="I350" s="142" t="s">
        <v>290</v>
      </c>
      <c r="J350" s="142" t="s">
        <v>291</v>
      </c>
      <c r="K350" s="142" t="s">
        <v>290</v>
      </c>
      <c r="L350" s="371">
        <f>IF(PolicyData[[#This Row],[ClaimFiled_Last5Yrs]]="Y",1,0)</f>
        <v>0</v>
      </c>
      <c r="M350" s="371">
        <f>IF(PolicyData[[#This Row],[Region]]="EAST",1,0)</f>
        <v>0</v>
      </c>
    </row>
    <row r="351" spans="1:13" ht="16" x14ac:dyDescent="0.2">
      <c r="A351" s="142" t="s">
        <v>641</v>
      </c>
      <c r="B351" s="143">
        <v>46123</v>
      </c>
      <c r="C351" s="142" t="s">
        <v>301</v>
      </c>
      <c r="D351" s="142">
        <v>2026</v>
      </c>
      <c r="E351" s="142">
        <v>37</v>
      </c>
      <c r="F351" s="144" t="s">
        <v>283</v>
      </c>
      <c r="G351" s="142" t="s">
        <v>85</v>
      </c>
      <c r="H351" s="145">
        <v>3050</v>
      </c>
      <c r="I351" s="142" t="s">
        <v>291</v>
      </c>
      <c r="J351" s="142" t="s">
        <v>291</v>
      </c>
      <c r="K351" s="142" t="s">
        <v>291</v>
      </c>
      <c r="L351" s="371">
        <f>IF(PolicyData[[#This Row],[ClaimFiled_Last5Yrs]]="Y",1,0)</f>
        <v>1</v>
      </c>
      <c r="M351" s="371">
        <f>IF(PolicyData[[#This Row],[Region]]="EAST",1,0)</f>
        <v>1</v>
      </c>
    </row>
    <row r="352" spans="1:13" ht="16" x14ac:dyDescent="0.2">
      <c r="A352" s="142" t="s">
        <v>642</v>
      </c>
      <c r="B352" s="143">
        <v>46165</v>
      </c>
      <c r="C352" s="142" t="s">
        <v>289</v>
      </c>
      <c r="D352" s="142">
        <v>2026</v>
      </c>
      <c r="E352" s="142">
        <v>83</v>
      </c>
      <c r="F352" s="144" t="s">
        <v>294</v>
      </c>
      <c r="G352" s="142" t="s">
        <v>87</v>
      </c>
      <c r="H352" s="145">
        <v>840</v>
      </c>
      <c r="I352" s="142" t="s">
        <v>290</v>
      </c>
      <c r="J352" s="142" t="s">
        <v>291</v>
      </c>
      <c r="K352" s="142" t="s">
        <v>290</v>
      </c>
      <c r="L352" s="371">
        <f>IF(PolicyData[[#This Row],[ClaimFiled_Last5Yrs]]="Y",1,0)</f>
        <v>0</v>
      </c>
      <c r="M352" s="371">
        <f>IF(PolicyData[[#This Row],[Region]]="EAST",1,0)</f>
        <v>0</v>
      </c>
    </row>
    <row r="353" spans="1:13" ht="16" x14ac:dyDescent="0.2">
      <c r="A353" s="142" t="s">
        <v>643</v>
      </c>
      <c r="B353" s="143">
        <v>46207</v>
      </c>
      <c r="C353" s="142" t="s">
        <v>292</v>
      </c>
      <c r="D353" s="142">
        <v>2026</v>
      </c>
      <c r="E353" s="142">
        <v>44</v>
      </c>
      <c r="F353" s="144" t="s">
        <v>282</v>
      </c>
      <c r="G353" s="142" t="s">
        <v>85</v>
      </c>
      <c r="H353" s="145">
        <v>2230</v>
      </c>
      <c r="I353" s="142" t="s">
        <v>290</v>
      </c>
      <c r="J353" s="142" t="s">
        <v>291</v>
      </c>
      <c r="K353" s="142" t="s">
        <v>290</v>
      </c>
      <c r="L353" s="371">
        <f>IF(PolicyData[[#This Row],[ClaimFiled_Last5Yrs]]="Y",1,0)</f>
        <v>0</v>
      </c>
      <c r="M353" s="371">
        <f>IF(PolicyData[[#This Row],[Region]]="EAST",1,0)</f>
        <v>0</v>
      </c>
    </row>
    <row r="354" spans="1:13" ht="16" x14ac:dyDescent="0.2">
      <c r="A354" s="142" t="s">
        <v>644</v>
      </c>
      <c r="B354" s="143">
        <v>46255</v>
      </c>
      <c r="C354" s="142" t="s">
        <v>293</v>
      </c>
      <c r="D354" s="142">
        <v>2026</v>
      </c>
      <c r="E354" s="142">
        <v>58</v>
      </c>
      <c r="F354" s="144" t="s">
        <v>281</v>
      </c>
      <c r="G354" s="142" t="s">
        <v>90</v>
      </c>
      <c r="H354" s="145">
        <v>1900</v>
      </c>
      <c r="I354" s="142" t="s">
        <v>291</v>
      </c>
      <c r="J354" s="142" t="s">
        <v>291</v>
      </c>
      <c r="K354" s="142" t="s">
        <v>290</v>
      </c>
      <c r="L354" s="371">
        <f>IF(PolicyData[[#This Row],[ClaimFiled_Last5Yrs]]="Y",1,0)</f>
        <v>1</v>
      </c>
      <c r="M354" s="371">
        <f>IF(PolicyData[[#This Row],[Region]]="EAST",1,0)</f>
        <v>0</v>
      </c>
    </row>
    <row r="355" spans="1:13" ht="16" x14ac:dyDescent="0.2">
      <c r="A355" s="142" t="s">
        <v>645</v>
      </c>
      <c r="B355" s="143">
        <v>46290</v>
      </c>
      <c r="C355" s="142" t="s">
        <v>295</v>
      </c>
      <c r="D355" s="142">
        <v>2026</v>
      </c>
      <c r="E355" s="142">
        <v>31</v>
      </c>
      <c r="F355" s="144" t="s">
        <v>283</v>
      </c>
      <c r="G355" s="142" t="s">
        <v>85</v>
      </c>
      <c r="H355" s="145">
        <v>3400</v>
      </c>
      <c r="I355" s="142" t="s">
        <v>290</v>
      </c>
      <c r="J355" s="142" t="s">
        <v>290</v>
      </c>
      <c r="K355" s="142" t="s">
        <v>291</v>
      </c>
      <c r="L355" s="371">
        <f>IF(PolicyData[[#This Row],[ClaimFiled_Last5Yrs]]="Y",1,0)</f>
        <v>0</v>
      </c>
      <c r="M355" s="371">
        <f>IF(PolicyData[[#This Row],[Region]]="EAST",1,0)</f>
        <v>1</v>
      </c>
    </row>
    <row r="356" spans="1:13" ht="16" x14ac:dyDescent="0.2">
      <c r="A356" s="142" t="s">
        <v>646</v>
      </c>
      <c r="B356" s="143">
        <v>45975</v>
      </c>
      <c r="C356" s="142" t="s">
        <v>296</v>
      </c>
      <c r="D356" s="142">
        <v>2026</v>
      </c>
      <c r="E356" s="142">
        <v>82</v>
      </c>
      <c r="F356" s="144" t="s">
        <v>294</v>
      </c>
      <c r="G356" s="142" t="s">
        <v>87</v>
      </c>
      <c r="H356" s="146">
        <v>1460</v>
      </c>
      <c r="I356" s="142" t="s">
        <v>290</v>
      </c>
      <c r="J356" s="142" t="s">
        <v>291</v>
      </c>
      <c r="K356" s="142" t="s">
        <v>290</v>
      </c>
      <c r="L356" s="371">
        <f>IF(PolicyData[[#This Row],[ClaimFiled_Last5Yrs]]="Y",1,0)</f>
        <v>0</v>
      </c>
      <c r="M356" s="371">
        <f>IF(PolicyData[[#This Row],[Region]]="EAST",1,0)</f>
        <v>0</v>
      </c>
    </row>
    <row r="357" spans="1:13" ht="16" x14ac:dyDescent="0.2">
      <c r="A357" s="142" t="s">
        <v>647</v>
      </c>
      <c r="B357" s="143">
        <v>46051</v>
      </c>
      <c r="C357" s="142" t="s">
        <v>297</v>
      </c>
      <c r="D357" s="142">
        <v>2026</v>
      </c>
      <c r="E357" s="142">
        <v>46</v>
      </c>
      <c r="F357" s="144" t="s">
        <v>282</v>
      </c>
      <c r="G357" s="142" t="s">
        <v>85</v>
      </c>
      <c r="H357" s="146">
        <v>2700</v>
      </c>
      <c r="I357" s="142" t="s">
        <v>290</v>
      </c>
      <c r="J357" s="142" t="s">
        <v>291</v>
      </c>
      <c r="K357" s="142" t="s">
        <v>290</v>
      </c>
      <c r="L357" s="371">
        <f>IF(PolicyData[[#This Row],[ClaimFiled_Last5Yrs]]="Y",1,0)</f>
        <v>0</v>
      </c>
      <c r="M357" s="371">
        <f>IF(PolicyData[[#This Row],[Region]]="EAST",1,0)</f>
        <v>0</v>
      </c>
    </row>
    <row r="358" spans="1:13" ht="16" x14ac:dyDescent="0.2">
      <c r="A358" s="142" t="s">
        <v>648</v>
      </c>
      <c r="B358" s="143">
        <v>46070</v>
      </c>
      <c r="C358" s="142" t="s">
        <v>298</v>
      </c>
      <c r="D358" s="142">
        <v>2026</v>
      </c>
      <c r="E358" s="142">
        <v>89</v>
      </c>
      <c r="F358" s="144" t="s">
        <v>281</v>
      </c>
      <c r="G358" s="142" t="s">
        <v>87</v>
      </c>
      <c r="H358" s="145">
        <v>990</v>
      </c>
      <c r="I358" s="142" t="s">
        <v>290</v>
      </c>
      <c r="J358" s="142" t="s">
        <v>291</v>
      </c>
      <c r="K358" s="142" t="s">
        <v>290</v>
      </c>
      <c r="L358" s="371">
        <f>IF(PolicyData[[#This Row],[ClaimFiled_Last5Yrs]]="Y",1,0)</f>
        <v>0</v>
      </c>
      <c r="M358" s="371">
        <f>IF(PolicyData[[#This Row],[Region]]="EAST",1,0)</f>
        <v>0</v>
      </c>
    </row>
    <row r="359" spans="1:13" ht="16" x14ac:dyDescent="0.2">
      <c r="A359" s="142" t="s">
        <v>649</v>
      </c>
      <c r="B359" s="143">
        <v>46087</v>
      </c>
      <c r="C359" s="142" t="s">
        <v>299</v>
      </c>
      <c r="D359" s="142">
        <v>2026</v>
      </c>
      <c r="E359" s="142">
        <v>49</v>
      </c>
      <c r="F359" s="144" t="s">
        <v>283</v>
      </c>
      <c r="G359" s="142" t="s">
        <v>85</v>
      </c>
      <c r="H359" s="146">
        <v>2550</v>
      </c>
      <c r="I359" s="142" t="s">
        <v>291</v>
      </c>
      <c r="J359" s="142" t="s">
        <v>291</v>
      </c>
      <c r="K359" s="142" t="s">
        <v>290</v>
      </c>
      <c r="L359" s="371">
        <f>IF(PolicyData[[#This Row],[ClaimFiled_Last5Yrs]]="Y",1,0)</f>
        <v>1</v>
      </c>
      <c r="M359" s="371">
        <f>IF(PolicyData[[#This Row],[Region]]="EAST",1,0)</f>
        <v>1</v>
      </c>
    </row>
    <row r="360" spans="1:13" ht="16" x14ac:dyDescent="0.2">
      <c r="A360" s="142" t="s">
        <v>650</v>
      </c>
      <c r="B360" s="143">
        <v>46131</v>
      </c>
      <c r="C360" s="142" t="s">
        <v>300</v>
      </c>
      <c r="D360" s="142">
        <v>2026</v>
      </c>
      <c r="E360" s="142">
        <v>76</v>
      </c>
      <c r="F360" s="144" t="s">
        <v>294</v>
      </c>
      <c r="G360" s="142" t="s">
        <v>90</v>
      </c>
      <c r="H360" s="145">
        <v>2100</v>
      </c>
      <c r="I360" s="142" t="s">
        <v>290</v>
      </c>
      <c r="J360" s="142" t="s">
        <v>291</v>
      </c>
      <c r="K360" s="142" t="s">
        <v>290</v>
      </c>
      <c r="L360" s="371">
        <f>IF(PolicyData[[#This Row],[ClaimFiled_Last5Yrs]]="Y",1,0)</f>
        <v>0</v>
      </c>
      <c r="M360" s="371">
        <f>IF(PolicyData[[#This Row],[Region]]="EAST",1,0)</f>
        <v>0</v>
      </c>
    </row>
    <row r="361" spans="1:13" ht="16" x14ac:dyDescent="0.2">
      <c r="A361" s="142" t="s">
        <v>651</v>
      </c>
      <c r="B361" s="143">
        <v>46146</v>
      </c>
      <c r="C361" s="142" t="s">
        <v>301</v>
      </c>
      <c r="D361" s="142">
        <v>2026</v>
      </c>
      <c r="E361" s="142">
        <v>40</v>
      </c>
      <c r="F361" s="144" t="s">
        <v>282</v>
      </c>
      <c r="G361" s="142" t="s">
        <v>85</v>
      </c>
      <c r="H361" s="146">
        <v>3000</v>
      </c>
      <c r="I361" s="142" t="s">
        <v>291</v>
      </c>
      <c r="J361" s="142" t="s">
        <v>290</v>
      </c>
      <c r="K361" s="142" t="s">
        <v>290</v>
      </c>
      <c r="L361" s="371">
        <f>IF(PolicyData[[#This Row],[ClaimFiled_Last5Yrs]]="Y",1,0)</f>
        <v>1</v>
      </c>
      <c r="M361" s="371">
        <f>IF(PolicyData[[#This Row],[Region]]="EAST",1,0)</f>
        <v>0</v>
      </c>
    </row>
    <row r="362" spans="1:13" ht="16" x14ac:dyDescent="0.2">
      <c r="A362" s="142" t="s">
        <v>652</v>
      </c>
      <c r="B362" s="143">
        <v>46224</v>
      </c>
      <c r="C362" s="142" t="s">
        <v>289</v>
      </c>
      <c r="D362" s="142">
        <v>2026</v>
      </c>
      <c r="E362" s="142">
        <v>54</v>
      </c>
      <c r="F362" s="144" t="s">
        <v>281</v>
      </c>
      <c r="G362" s="142" t="s">
        <v>85</v>
      </c>
      <c r="H362" s="145">
        <v>2350</v>
      </c>
      <c r="I362" s="142" t="s">
        <v>290</v>
      </c>
      <c r="J362" s="142" t="s">
        <v>291</v>
      </c>
      <c r="K362" s="142" t="s">
        <v>290</v>
      </c>
      <c r="L362" s="371">
        <f>IF(PolicyData[[#This Row],[ClaimFiled_Last5Yrs]]="Y",1,0)</f>
        <v>0</v>
      </c>
      <c r="M362" s="371">
        <f>IF(PolicyData[[#This Row],[Region]]="EAST",1,0)</f>
        <v>0</v>
      </c>
    </row>
    <row r="363" spans="1:13" ht="16" x14ac:dyDescent="0.2">
      <c r="A363" s="142" t="s">
        <v>653</v>
      </c>
      <c r="B363" s="143">
        <v>46241</v>
      </c>
      <c r="C363" s="142" t="s">
        <v>292</v>
      </c>
      <c r="D363" s="142">
        <v>2026</v>
      </c>
      <c r="E363" s="142">
        <v>64</v>
      </c>
      <c r="F363" s="144" t="s">
        <v>283</v>
      </c>
      <c r="G363" s="142" t="s">
        <v>87</v>
      </c>
      <c r="H363" s="145">
        <v>1130</v>
      </c>
      <c r="I363" s="142" t="s">
        <v>290</v>
      </c>
      <c r="J363" s="142" t="s">
        <v>291</v>
      </c>
      <c r="K363" s="142" t="s">
        <v>291</v>
      </c>
      <c r="L363" s="371">
        <f>IF(PolicyData[[#This Row],[ClaimFiled_Last5Yrs]]="Y",1,0)</f>
        <v>0</v>
      </c>
      <c r="M363" s="371">
        <f>IF(PolicyData[[#This Row],[Region]]="EAST",1,0)</f>
        <v>1</v>
      </c>
    </row>
    <row r="364" spans="1:13" ht="16" x14ac:dyDescent="0.2">
      <c r="A364" s="142" t="s">
        <v>654</v>
      </c>
      <c r="B364" s="143">
        <v>46282</v>
      </c>
      <c r="C364" s="142" t="s">
        <v>293</v>
      </c>
      <c r="D364" s="142">
        <v>2026</v>
      </c>
      <c r="E364" s="142">
        <v>33</v>
      </c>
      <c r="F364" s="144" t="s">
        <v>294</v>
      </c>
      <c r="G364" s="142" t="s">
        <v>85</v>
      </c>
      <c r="H364" s="145">
        <v>3250</v>
      </c>
      <c r="I364" s="142" t="s">
        <v>291</v>
      </c>
      <c r="J364" s="142" t="s">
        <v>290</v>
      </c>
      <c r="K364" s="142" t="s">
        <v>290</v>
      </c>
      <c r="L364" s="371">
        <f>IF(PolicyData[[#This Row],[ClaimFiled_Last5Yrs]]="Y",1,0)</f>
        <v>1</v>
      </c>
      <c r="M364" s="371">
        <f>IF(PolicyData[[#This Row],[Region]]="EAST",1,0)</f>
        <v>0</v>
      </c>
    </row>
    <row r="365" spans="1:13" ht="16" x14ac:dyDescent="0.2">
      <c r="A365" s="142" t="s">
        <v>655</v>
      </c>
      <c r="B365" s="143">
        <v>46324</v>
      </c>
      <c r="C365" s="142" t="s">
        <v>295</v>
      </c>
      <c r="D365" s="142">
        <v>2026</v>
      </c>
      <c r="E365" s="142">
        <v>77</v>
      </c>
      <c r="F365" s="144" t="s">
        <v>282</v>
      </c>
      <c r="G365" s="142" t="s">
        <v>90</v>
      </c>
      <c r="H365" s="146">
        <v>1270</v>
      </c>
      <c r="I365" s="142" t="s">
        <v>290</v>
      </c>
      <c r="J365" s="142" t="s">
        <v>291</v>
      </c>
      <c r="K365" s="142" t="s">
        <v>290</v>
      </c>
      <c r="L365" s="371">
        <f>IF(PolicyData[[#This Row],[ClaimFiled_Last5Yrs]]="Y",1,0)</f>
        <v>0</v>
      </c>
      <c r="M365" s="371">
        <f>IF(PolicyData[[#This Row],[Region]]="EAST",1,0)</f>
        <v>0</v>
      </c>
    </row>
    <row r="366" spans="1:13" ht="16" x14ac:dyDescent="0.2">
      <c r="A366" s="142" t="s">
        <v>656</v>
      </c>
      <c r="B366" s="143">
        <v>45976</v>
      </c>
      <c r="C366" s="142" t="s">
        <v>296</v>
      </c>
      <c r="D366" s="142">
        <v>2026</v>
      </c>
      <c r="E366" s="142">
        <v>57</v>
      </c>
      <c r="F366" s="144" t="s">
        <v>281</v>
      </c>
      <c r="G366" s="142" t="s">
        <v>85</v>
      </c>
      <c r="H366" s="146">
        <v>2950</v>
      </c>
      <c r="I366" s="142" t="s">
        <v>290</v>
      </c>
      <c r="J366" s="142" t="s">
        <v>291</v>
      </c>
      <c r="K366" s="142" t="s">
        <v>290</v>
      </c>
      <c r="L366" s="371">
        <f>IF(PolicyData[[#This Row],[ClaimFiled_Last5Yrs]]="Y",1,0)</f>
        <v>0</v>
      </c>
      <c r="M366" s="371">
        <f>IF(PolicyData[[#This Row],[Region]]="EAST",1,0)</f>
        <v>0</v>
      </c>
    </row>
    <row r="367" spans="1:13" ht="16" x14ac:dyDescent="0.2">
      <c r="A367" s="142" t="s">
        <v>657</v>
      </c>
      <c r="B367" s="143">
        <v>45999</v>
      </c>
      <c r="C367" s="142" t="s">
        <v>297</v>
      </c>
      <c r="D367" s="142">
        <v>2026</v>
      </c>
      <c r="E367" s="142">
        <v>83</v>
      </c>
      <c r="F367" s="144" t="s">
        <v>283</v>
      </c>
      <c r="G367" s="142" t="s">
        <v>87</v>
      </c>
      <c r="H367" s="146">
        <v>990</v>
      </c>
      <c r="I367" s="142" t="s">
        <v>290</v>
      </c>
      <c r="J367" s="142" t="s">
        <v>291</v>
      </c>
      <c r="K367" s="142" t="s">
        <v>290</v>
      </c>
      <c r="L367" s="371">
        <f>IF(PolicyData[[#This Row],[ClaimFiled_Last5Yrs]]="Y",1,0)</f>
        <v>0</v>
      </c>
      <c r="M367" s="371">
        <f>IF(PolicyData[[#This Row],[Region]]="EAST",1,0)</f>
        <v>1</v>
      </c>
    </row>
    <row r="368" spans="1:13" ht="16" x14ac:dyDescent="0.2">
      <c r="A368" s="142" t="s">
        <v>658</v>
      </c>
      <c r="B368" s="143">
        <v>46033</v>
      </c>
      <c r="C368" s="142" t="s">
        <v>298</v>
      </c>
      <c r="D368" s="142">
        <v>2026</v>
      </c>
      <c r="E368" s="142">
        <v>44</v>
      </c>
      <c r="F368" s="144" t="s">
        <v>282</v>
      </c>
      <c r="G368" s="142" t="s">
        <v>85</v>
      </c>
      <c r="H368" s="146">
        <v>2750</v>
      </c>
      <c r="I368" s="142" t="s">
        <v>291</v>
      </c>
      <c r="J368" s="142" t="s">
        <v>290</v>
      </c>
      <c r="K368" s="142" t="s">
        <v>290</v>
      </c>
      <c r="L368" s="371">
        <f>IF(PolicyData[[#This Row],[ClaimFiled_Last5Yrs]]="Y",1,0)</f>
        <v>1</v>
      </c>
      <c r="M368" s="371">
        <f>IF(PolicyData[[#This Row],[Region]]="EAST",1,0)</f>
        <v>0</v>
      </c>
    </row>
    <row r="369" spans="1:13" ht="16" x14ac:dyDescent="0.2">
      <c r="A369" s="142" t="s">
        <v>659</v>
      </c>
      <c r="B369" s="143">
        <v>46077</v>
      </c>
      <c r="C369" s="142" t="s">
        <v>299</v>
      </c>
      <c r="D369" s="142">
        <v>2026</v>
      </c>
      <c r="E369" s="142">
        <v>78</v>
      </c>
      <c r="F369" s="144" t="s">
        <v>294</v>
      </c>
      <c r="G369" s="142" t="s">
        <v>85</v>
      </c>
      <c r="H369" s="146">
        <v>2500</v>
      </c>
      <c r="I369" s="142" t="s">
        <v>290</v>
      </c>
      <c r="J369" s="142" t="s">
        <v>291</v>
      </c>
      <c r="K369" s="142" t="s">
        <v>290</v>
      </c>
      <c r="L369" s="371">
        <f>IF(PolicyData[[#This Row],[ClaimFiled_Last5Yrs]]="Y",1,0)</f>
        <v>0</v>
      </c>
      <c r="M369" s="371">
        <f>IF(PolicyData[[#This Row],[Region]]="EAST",1,0)</f>
        <v>0</v>
      </c>
    </row>
    <row r="370" spans="1:13" ht="16" x14ac:dyDescent="0.2">
      <c r="A370" s="142" t="s">
        <v>660</v>
      </c>
      <c r="B370" s="143">
        <v>46097</v>
      </c>
      <c r="C370" s="142" t="s">
        <v>300</v>
      </c>
      <c r="D370" s="142">
        <v>2026</v>
      </c>
      <c r="E370" s="142">
        <v>53</v>
      </c>
      <c r="F370" s="144" t="s">
        <v>281</v>
      </c>
      <c r="G370" s="142" t="s">
        <v>87</v>
      </c>
      <c r="H370" s="145">
        <v>1290</v>
      </c>
      <c r="I370" s="142" t="s">
        <v>291</v>
      </c>
      <c r="J370" s="142" t="s">
        <v>291</v>
      </c>
      <c r="K370" s="142" t="s">
        <v>291</v>
      </c>
      <c r="L370" s="371">
        <f>IF(PolicyData[[#This Row],[ClaimFiled_Last5Yrs]]="Y",1,0)</f>
        <v>1</v>
      </c>
      <c r="M370" s="371">
        <f>IF(PolicyData[[#This Row],[Region]]="EAST",1,0)</f>
        <v>0</v>
      </c>
    </row>
    <row r="371" spans="1:13" ht="16" x14ac:dyDescent="0.2">
      <c r="A371" s="142" t="s">
        <v>661</v>
      </c>
      <c r="B371" s="143">
        <v>46142</v>
      </c>
      <c r="C371" s="142" t="s">
        <v>301</v>
      </c>
      <c r="D371" s="142">
        <v>2026</v>
      </c>
      <c r="E371" s="142">
        <v>38</v>
      </c>
      <c r="F371" s="144" t="s">
        <v>283</v>
      </c>
      <c r="G371" s="142" t="s">
        <v>85</v>
      </c>
      <c r="H371" s="145">
        <v>3100</v>
      </c>
      <c r="I371" s="142" t="s">
        <v>290</v>
      </c>
      <c r="J371" s="142" t="s">
        <v>291</v>
      </c>
      <c r="K371" s="142" t="s">
        <v>290</v>
      </c>
      <c r="L371" s="371">
        <f>IF(PolicyData[[#This Row],[ClaimFiled_Last5Yrs]]="Y",1,0)</f>
        <v>0</v>
      </c>
      <c r="M371" s="371">
        <f>IF(PolicyData[[#This Row],[Region]]="EAST",1,0)</f>
        <v>1</v>
      </c>
    </row>
    <row r="372" spans="1:13" ht="16" x14ac:dyDescent="0.2">
      <c r="A372" s="142" t="s">
        <v>662</v>
      </c>
      <c r="B372" s="143">
        <v>46165</v>
      </c>
      <c r="C372" s="142" t="s">
        <v>289</v>
      </c>
      <c r="D372" s="142">
        <v>2026</v>
      </c>
      <c r="E372" s="142">
        <v>84</v>
      </c>
      <c r="F372" s="144" t="s">
        <v>294</v>
      </c>
      <c r="G372" s="142" t="s">
        <v>87</v>
      </c>
      <c r="H372" s="145">
        <v>870</v>
      </c>
      <c r="I372" s="142" t="s">
        <v>290</v>
      </c>
      <c r="J372" s="142" t="s">
        <v>291</v>
      </c>
      <c r="K372" s="142" t="s">
        <v>290</v>
      </c>
      <c r="L372" s="371">
        <f>IF(PolicyData[[#This Row],[ClaimFiled_Last5Yrs]]="Y",1,0)</f>
        <v>0</v>
      </c>
      <c r="M372" s="371">
        <f>IF(PolicyData[[#This Row],[Region]]="EAST",1,0)</f>
        <v>0</v>
      </c>
    </row>
    <row r="373" spans="1:13" ht="16" x14ac:dyDescent="0.2">
      <c r="A373" s="142" t="s">
        <v>663</v>
      </c>
      <c r="B373" s="143">
        <v>46181</v>
      </c>
      <c r="C373" s="142" t="s">
        <v>292</v>
      </c>
      <c r="D373" s="142">
        <v>2026</v>
      </c>
      <c r="E373" s="142">
        <v>45</v>
      </c>
      <c r="F373" s="144" t="s">
        <v>282</v>
      </c>
      <c r="G373" s="142" t="s">
        <v>85</v>
      </c>
      <c r="H373" s="146">
        <v>2280</v>
      </c>
      <c r="I373" s="142" t="s">
        <v>290</v>
      </c>
      <c r="J373" s="142" t="s">
        <v>291</v>
      </c>
      <c r="K373" s="142" t="s">
        <v>290</v>
      </c>
      <c r="L373" s="371">
        <f>IF(PolicyData[[#This Row],[ClaimFiled_Last5Yrs]]="Y",1,0)</f>
        <v>0</v>
      </c>
      <c r="M373" s="371">
        <f>IF(PolicyData[[#This Row],[Region]]="EAST",1,0)</f>
        <v>0</v>
      </c>
    </row>
    <row r="374" spans="1:13" ht="16" x14ac:dyDescent="0.2">
      <c r="A374" s="142" t="s">
        <v>664</v>
      </c>
      <c r="B374" s="143">
        <v>46223</v>
      </c>
      <c r="C374" s="142" t="s">
        <v>293</v>
      </c>
      <c r="D374" s="142">
        <v>2026</v>
      </c>
      <c r="E374" s="142">
        <v>59</v>
      </c>
      <c r="F374" s="144" t="s">
        <v>281</v>
      </c>
      <c r="G374" s="142" t="s">
        <v>90</v>
      </c>
      <c r="H374" s="146">
        <v>2000</v>
      </c>
      <c r="I374" s="142" t="s">
        <v>291</v>
      </c>
      <c r="J374" s="142" t="s">
        <v>291</v>
      </c>
      <c r="K374" s="142" t="s">
        <v>290</v>
      </c>
      <c r="L374" s="371">
        <f>IF(PolicyData[[#This Row],[ClaimFiled_Last5Yrs]]="Y",1,0)</f>
        <v>1</v>
      </c>
      <c r="M374" s="371">
        <f>IF(PolicyData[[#This Row],[Region]]="EAST",1,0)</f>
        <v>0</v>
      </c>
    </row>
    <row r="375" spans="1:13" ht="16" x14ac:dyDescent="0.2">
      <c r="A375" s="142" t="s">
        <v>665</v>
      </c>
      <c r="B375" s="143">
        <v>46238</v>
      </c>
      <c r="C375" s="142" t="s">
        <v>295</v>
      </c>
      <c r="D375" s="142">
        <v>2026</v>
      </c>
      <c r="E375" s="142">
        <v>32</v>
      </c>
      <c r="F375" s="144" t="s">
        <v>283</v>
      </c>
      <c r="G375" s="142" t="s">
        <v>85</v>
      </c>
      <c r="H375" s="146">
        <v>3450</v>
      </c>
      <c r="I375" s="142" t="s">
        <v>290</v>
      </c>
      <c r="J375" s="142" t="s">
        <v>290</v>
      </c>
      <c r="K375" s="142" t="s">
        <v>291</v>
      </c>
      <c r="L375" s="371">
        <f>IF(PolicyData[[#This Row],[ClaimFiled_Last5Yrs]]="Y",1,0)</f>
        <v>0</v>
      </c>
      <c r="M375" s="371">
        <f>IF(PolicyData[[#This Row],[Region]]="EAST",1,0)</f>
        <v>1</v>
      </c>
    </row>
    <row r="376" spans="1:13" ht="16" x14ac:dyDescent="0.2">
      <c r="A376" s="142" t="s">
        <v>666</v>
      </c>
      <c r="B376" s="143">
        <v>46283</v>
      </c>
      <c r="C376" s="142" t="s">
        <v>296</v>
      </c>
      <c r="D376" s="142">
        <v>2026</v>
      </c>
      <c r="E376" s="142">
        <v>84</v>
      </c>
      <c r="F376" s="144" t="s">
        <v>294</v>
      </c>
      <c r="G376" s="142" t="s">
        <v>87</v>
      </c>
      <c r="H376" s="145">
        <v>1490</v>
      </c>
      <c r="I376" s="142" t="s">
        <v>290</v>
      </c>
      <c r="J376" s="142" t="s">
        <v>291</v>
      </c>
      <c r="K376" s="142" t="s">
        <v>290</v>
      </c>
      <c r="L376" s="371">
        <f>IF(PolicyData[[#This Row],[ClaimFiled_Last5Yrs]]="Y",1,0)</f>
        <v>0</v>
      </c>
      <c r="M376" s="371">
        <f>IF(PolicyData[[#This Row],[Region]]="EAST",1,0)</f>
        <v>0</v>
      </c>
    </row>
    <row r="377" spans="1:13" ht="16" x14ac:dyDescent="0.2">
      <c r="A377" s="142" t="s">
        <v>667</v>
      </c>
      <c r="B377" s="143">
        <v>46326</v>
      </c>
      <c r="C377" s="142" t="s">
        <v>297</v>
      </c>
      <c r="D377" s="142">
        <v>2026</v>
      </c>
      <c r="E377" s="142">
        <v>47</v>
      </c>
      <c r="F377" s="144" t="s">
        <v>282</v>
      </c>
      <c r="G377" s="142" t="s">
        <v>85</v>
      </c>
      <c r="H377" s="145">
        <v>2800</v>
      </c>
      <c r="I377" s="142" t="s">
        <v>290</v>
      </c>
      <c r="J377" s="142" t="s">
        <v>291</v>
      </c>
      <c r="K377" s="142" t="s">
        <v>290</v>
      </c>
      <c r="L377" s="371">
        <f>IF(PolicyData[[#This Row],[ClaimFiled_Last5Yrs]]="Y",1,0)</f>
        <v>0</v>
      </c>
      <c r="M377" s="371">
        <f>IF(PolicyData[[#This Row],[Region]]="EAST",1,0)</f>
        <v>0</v>
      </c>
    </row>
    <row r="378" spans="1:13" ht="16" x14ac:dyDescent="0.2">
      <c r="A378" s="142" t="s">
        <v>668</v>
      </c>
      <c r="B378" s="143">
        <v>45972</v>
      </c>
      <c r="C378" s="142" t="s">
        <v>298</v>
      </c>
      <c r="D378" s="142">
        <v>2026</v>
      </c>
      <c r="E378" s="142">
        <v>90</v>
      </c>
      <c r="F378" s="144" t="s">
        <v>281</v>
      </c>
      <c r="G378" s="142" t="s">
        <v>87</v>
      </c>
      <c r="H378" s="146">
        <v>1020</v>
      </c>
      <c r="I378" s="142" t="s">
        <v>290</v>
      </c>
      <c r="J378" s="142" t="s">
        <v>291</v>
      </c>
      <c r="K378" s="142" t="s">
        <v>290</v>
      </c>
      <c r="L378" s="371">
        <f>IF(PolicyData[[#This Row],[ClaimFiled_Last5Yrs]]="Y",1,0)</f>
        <v>0</v>
      </c>
      <c r="M378" s="371">
        <f>IF(PolicyData[[#This Row],[Region]]="EAST",1,0)</f>
        <v>0</v>
      </c>
    </row>
    <row r="379" spans="1:13" ht="16" x14ac:dyDescent="0.2">
      <c r="A379" s="142" t="s">
        <v>669</v>
      </c>
      <c r="B379" s="143">
        <v>46077</v>
      </c>
      <c r="C379" s="142" t="s">
        <v>299</v>
      </c>
      <c r="D379" s="142">
        <v>2026</v>
      </c>
      <c r="E379" s="142">
        <v>50</v>
      </c>
      <c r="F379" s="144" t="s">
        <v>283</v>
      </c>
      <c r="G379" s="142" t="s">
        <v>85</v>
      </c>
      <c r="H379" s="146">
        <v>2600</v>
      </c>
      <c r="I379" s="142" t="s">
        <v>291</v>
      </c>
      <c r="J379" s="142" t="s">
        <v>291</v>
      </c>
      <c r="K379" s="142" t="s">
        <v>290</v>
      </c>
      <c r="L379" s="371">
        <f>IF(PolicyData[[#This Row],[ClaimFiled_Last5Yrs]]="Y",1,0)</f>
        <v>1</v>
      </c>
      <c r="M379" s="371">
        <f>IF(PolicyData[[#This Row],[Region]]="EAST",1,0)</f>
        <v>1</v>
      </c>
    </row>
    <row r="380" spans="1:13" ht="16" x14ac:dyDescent="0.2">
      <c r="A380" s="142" t="s">
        <v>670</v>
      </c>
      <c r="B380" s="143">
        <v>46090</v>
      </c>
      <c r="C380" s="142" t="s">
        <v>300</v>
      </c>
      <c r="D380" s="142">
        <v>2026</v>
      </c>
      <c r="E380" s="142">
        <v>79</v>
      </c>
      <c r="F380" s="144" t="s">
        <v>294</v>
      </c>
      <c r="G380" s="142" t="s">
        <v>90</v>
      </c>
      <c r="H380" s="146">
        <v>2200</v>
      </c>
      <c r="I380" s="142" t="s">
        <v>290</v>
      </c>
      <c r="J380" s="142" t="s">
        <v>291</v>
      </c>
      <c r="K380" s="142" t="s">
        <v>290</v>
      </c>
      <c r="L380" s="371">
        <f>IF(PolicyData[[#This Row],[ClaimFiled_Last5Yrs]]="Y",1,0)</f>
        <v>0</v>
      </c>
      <c r="M380" s="371">
        <f>IF(PolicyData[[#This Row],[Region]]="EAST",1,0)</f>
        <v>0</v>
      </c>
    </row>
    <row r="381" spans="1:13" ht="16" x14ac:dyDescent="0.2">
      <c r="A381" s="142" t="s">
        <v>671</v>
      </c>
      <c r="B381" s="143">
        <v>46139</v>
      </c>
      <c r="C381" s="142" t="s">
        <v>301</v>
      </c>
      <c r="D381" s="142">
        <v>2026</v>
      </c>
      <c r="E381" s="142">
        <v>41</v>
      </c>
      <c r="F381" s="144" t="s">
        <v>282</v>
      </c>
      <c r="G381" s="142" t="s">
        <v>85</v>
      </c>
      <c r="H381" s="145">
        <v>3050</v>
      </c>
      <c r="I381" s="142" t="s">
        <v>291</v>
      </c>
      <c r="J381" s="142" t="s">
        <v>290</v>
      </c>
      <c r="K381" s="142" t="s">
        <v>290</v>
      </c>
      <c r="L381" s="371">
        <f>IF(PolicyData[[#This Row],[ClaimFiled_Last5Yrs]]="Y",1,0)</f>
        <v>1</v>
      </c>
      <c r="M381" s="371">
        <f>IF(PolicyData[[#This Row],[Region]]="EAST",1,0)</f>
        <v>0</v>
      </c>
    </row>
    <row r="382" spans="1:13" ht="16" x14ac:dyDescent="0.2">
      <c r="A382" s="142" t="s">
        <v>672</v>
      </c>
      <c r="B382" s="143">
        <v>46161</v>
      </c>
      <c r="C382" s="142" t="s">
        <v>289</v>
      </c>
      <c r="D382" s="142">
        <v>2026</v>
      </c>
      <c r="E382" s="142">
        <v>55</v>
      </c>
      <c r="F382" s="144" t="s">
        <v>281</v>
      </c>
      <c r="G382" s="142" t="s">
        <v>85</v>
      </c>
      <c r="H382" s="145">
        <v>2400</v>
      </c>
      <c r="I382" s="142" t="s">
        <v>290</v>
      </c>
      <c r="J382" s="142" t="s">
        <v>291</v>
      </c>
      <c r="K382" s="142" t="s">
        <v>290</v>
      </c>
      <c r="L382" s="371">
        <f>IF(PolicyData[[#This Row],[ClaimFiled_Last5Yrs]]="Y",1,0)</f>
        <v>0</v>
      </c>
      <c r="M382" s="371">
        <f>IF(PolicyData[[#This Row],[Region]]="EAST",1,0)</f>
        <v>0</v>
      </c>
    </row>
    <row r="383" spans="1:13" ht="16" x14ac:dyDescent="0.2">
      <c r="A383" s="142" t="s">
        <v>673</v>
      </c>
      <c r="B383" s="143">
        <v>46208</v>
      </c>
      <c r="C383" s="142" t="s">
        <v>292</v>
      </c>
      <c r="D383" s="142">
        <v>2026</v>
      </c>
      <c r="E383" s="142">
        <v>65</v>
      </c>
      <c r="F383" s="144" t="s">
        <v>283</v>
      </c>
      <c r="G383" s="142" t="s">
        <v>87</v>
      </c>
      <c r="H383" s="146">
        <v>1160</v>
      </c>
      <c r="I383" s="142" t="s">
        <v>291</v>
      </c>
      <c r="J383" s="142" t="s">
        <v>291</v>
      </c>
      <c r="K383" s="142" t="s">
        <v>290</v>
      </c>
      <c r="L383" s="371">
        <f>IF(PolicyData[[#This Row],[ClaimFiled_Last5Yrs]]="Y",1,0)</f>
        <v>1</v>
      </c>
      <c r="M383" s="371">
        <f>IF(PolicyData[[#This Row],[Region]]="EAST",1,0)</f>
        <v>1</v>
      </c>
    </row>
    <row r="384" spans="1:13" ht="16" x14ac:dyDescent="0.2">
      <c r="A384" s="142" t="s">
        <v>674</v>
      </c>
      <c r="B384" s="143">
        <v>46256</v>
      </c>
      <c r="C384" s="142" t="s">
        <v>293</v>
      </c>
      <c r="D384" s="142">
        <v>2026</v>
      </c>
      <c r="E384" s="142">
        <v>34</v>
      </c>
      <c r="F384" s="144" t="s">
        <v>294</v>
      </c>
      <c r="G384" s="142" t="s">
        <v>85</v>
      </c>
      <c r="H384" s="146">
        <v>3300</v>
      </c>
      <c r="I384" s="142" t="s">
        <v>290</v>
      </c>
      <c r="J384" s="142" t="s">
        <v>290</v>
      </c>
      <c r="K384" s="142" t="s">
        <v>291</v>
      </c>
      <c r="L384" s="371">
        <f>IF(PolicyData[[#This Row],[ClaimFiled_Last5Yrs]]="Y",1,0)</f>
        <v>0</v>
      </c>
      <c r="M384" s="371">
        <f>IF(PolicyData[[#This Row],[Region]]="EAST",1,0)</f>
        <v>0</v>
      </c>
    </row>
    <row r="385" spans="1:13" ht="16" x14ac:dyDescent="0.2">
      <c r="A385" s="142" t="s">
        <v>675</v>
      </c>
      <c r="B385" s="143">
        <v>46281</v>
      </c>
      <c r="C385" s="142" t="s">
        <v>295</v>
      </c>
      <c r="D385" s="142">
        <v>2026</v>
      </c>
      <c r="E385" s="142">
        <v>80</v>
      </c>
      <c r="F385" s="144" t="s">
        <v>282</v>
      </c>
      <c r="G385" s="142" t="s">
        <v>90</v>
      </c>
      <c r="H385" s="146">
        <v>1300</v>
      </c>
      <c r="I385" s="142" t="s">
        <v>290</v>
      </c>
      <c r="J385" s="142" t="s">
        <v>291</v>
      </c>
      <c r="K385" s="142" t="s">
        <v>290</v>
      </c>
      <c r="L385" s="371">
        <f>IF(PolicyData[[#This Row],[ClaimFiled_Last5Yrs]]="Y",1,0)</f>
        <v>0</v>
      </c>
      <c r="M385" s="371">
        <f>IF(PolicyData[[#This Row],[Region]]="EAST",1,0)</f>
        <v>0</v>
      </c>
    </row>
    <row r="386" spans="1:13" ht="16" x14ac:dyDescent="0.2">
      <c r="A386" s="142" t="s">
        <v>676</v>
      </c>
      <c r="B386" s="143">
        <v>46319</v>
      </c>
      <c r="C386" s="142" t="s">
        <v>296</v>
      </c>
      <c r="D386" s="142">
        <v>2026</v>
      </c>
      <c r="E386" s="142">
        <v>58</v>
      </c>
      <c r="F386" s="144" t="s">
        <v>281</v>
      </c>
      <c r="G386" s="142" t="s">
        <v>85</v>
      </c>
      <c r="H386" s="146">
        <v>3050</v>
      </c>
      <c r="I386" s="142" t="s">
        <v>290</v>
      </c>
      <c r="J386" s="142" t="s">
        <v>291</v>
      </c>
      <c r="K386" s="142" t="s">
        <v>290</v>
      </c>
      <c r="L386" s="371">
        <f>IF(PolicyData[[#This Row],[ClaimFiled_Last5Yrs]]="Y",1,0)</f>
        <v>0</v>
      </c>
      <c r="M386" s="371">
        <f>IF(PolicyData[[#This Row],[Region]]="EAST",1,0)</f>
        <v>0</v>
      </c>
    </row>
    <row r="387" spans="1:13" ht="16" x14ac:dyDescent="0.2">
      <c r="A387" s="142" t="s">
        <v>677</v>
      </c>
      <c r="B387" s="143">
        <v>45969</v>
      </c>
      <c r="C387" s="142" t="s">
        <v>297</v>
      </c>
      <c r="D387" s="142">
        <v>2026</v>
      </c>
      <c r="E387" s="142">
        <v>85</v>
      </c>
      <c r="F387" s="144" t="s">
        <v>283</v>
      </c>
      <c r="G387" s="142" t="s">
        <v>87</v>
      </c>
      <c r="H387" s="145">
        <v>1020</v>
      </c>
      <c r="I387" s="142" t="s">
        <v>290</v>
      </c>
      <c r="J387" s="142" t="s">
        <v>291</v>
      </c>
      <c r="K387" s="142" t="s">
        <v>290</v>
      </c>
      <c r="L387" s="371">
        <f>IF(PolicyData[[#This Row],[ClaimFiled_Last5Yrs]]="Y",1,0)</f>
        <v>0</v>
      </c>
      <c r="M387" s="371">
        <f>IF(PolicyData[[#This Row],[Region]]="EAST",1,0)</f>
        <v>1</v>
      </c>
    </row>
    <row r="388" spans="1:13" ht="16" x14ac:dyDescent="0.2">
      <c r="A388" s="142" t="s">
        <v>678</v>
      </c>
      <c r="B388" s="143">
        <v>46047</v>
      </c>
      <c r="C388" s="142" t="s">
        <v>298</v>
      </c>
      <c r="D388" s="142">
        <v>2026</v>
      </c>
      <c r="E388" s="142">
        <v>45</v>
      </c>
      <c r="F388" s="144" t="s">
        <v>282</v>
      </c>
      <c r="G388" s="142" t="s">
        <v>85</v>
      </c>
      <c r="H388" s="145">
        <v>2850</v>
      </c>
      <c r="I388" s="142" t="s">
        <v>291</v>
      </c>
      <c r="J388" s="142" t="s">
        <v>290</v>
      </c>
      <c r="K388" s="142" t="s">
        <v>290</v>
      </c>
      <c r="L388" s="371">
        <f>IF(PolicyData[[#This Row],[ClaimFiled_Last5Yrs]]="Y",1,0)</f>
        <v>1</v>
      </c>
      <c r="M388" s="371">
        <f>IF(PolicyData[[#This Row],[Region]]="EAST",1,0)</f>
        <v>0</v>
      </c>
    </row>
    <row r="389" spans="1:13" ht="16" x14ac:dyDescent="0.2">
      <c r="A389" s="142" t="s">
        <v>679</v>
      </c>
      <c r="B389" s="143">
        <v>46067</v>
      </c>
      <c r="C389" s="142" t="s">
        <v>299</v>
      </c>
      <c r="D389" s="142">
        <v>2026</v>
      </c>
      <c r="E389" s="142">
        <v>80</v>
      </c>
      <c r="F389" s="144" t="s">
        <v>294</v>
      </c>
      <c r="G389" s="142" t="s">
        <v>85</v>
      </c>
      <c r="H389" s="146">
        <v>2600</v>
      </c>
      <c r="I389" s="142" t="s">
        <v>290</v>
      </c>
      <c r="J389" s="142" t="s">
        <v>291</v>
      </c>
      <c r="K389" s="142" t="s">
        <v>290</v>
      </c>
      <c r="L389" s="371">
        <f>IF(PolicyData[[#This Row],[ClaimFiled_Last5Yrs]]="Y",1,0)</f>
        <v>0</v>
      </c>
      <c r="M389" s="371">
        <f>IF(PolicyData[[#This Row],[Region]]="EAST",1,0)</f>
        <v>0</v>
      </c>
    </row>
    <row r="390" spans="1:13" ht="16" x14ac:dyDescent="0.2">
      <c r="A390" s="142" t="s">
        <v>680</v>
      </c>
      <c r="B390" s="143">
        <v>46108</v>
      </c>
      <c r="C390" s="142" t="s">
        <v>300</v>
      </c>
      <c r="D390" s="142">
        <v>2026</v>
      </c>
      <c r="E390" s="142">
        <v>54</v>
      </c>
      <c r="F390" s="144" t="s">
        <v>281</v>
      </c>
      <c r="G390" s="142" t="s">
        <v>87</v>
      </c>
      <c r="H390" s="146">
        <v>1320</v>
      </c>
      <c r="I390" s="142" t="s">
        <v>290</v>
      </c>
      <c r="J390" s="142" t="s">
        <v>291</v>
      </c>
      <c r="K390" s="142" t="s">
        <v>290</v>
      </c>
      <c r="L390" s="371">
        <f>IF(PolicyData[[#This Row],[ClaimFiled_Last5Yrs]]="Y",1,0)</f>
        <v>0</v>
      </c>
      <c r="M390" s="371">
        <f>IF(PolicyData[[#This Row],[Region]]="EAST",1,0)</f>
        <v>0</v>
      </c>
    </row>
    <row r="391" spans="1:13" ht="16" x14ac:dyDescent="0.2">
      <c r="A391" s="142" t="s">
        <v>681</v>
      </c>
      <c r="B391" s="143">
        <v>46123</v>
      </c>
      <c r="C391" s="142" t="s">
        <v>301</v>
      </c>
      <c r="D391" s="142">
        <v>2026</v>
      </c>
      <c r="E391" s="142">
        <v>39</v>
      </c>
      <c r="F391" s="144" t="s">
        <v>283</v>
      </c>
      <c r="G391" s="142" t="s">
        <v>85</v>
      </c>
      <c r="H391" s="145">
        <v>3150</v>
      </c>
      <c r="I391" s="142" t="s">
        <v>291</v>
      </c>
      <c r="J391" s="142" t="s">
        <v>291</v>
      </c>
      <c r="K391" s="142" t="s">
        <v>291</v>
      </c>
      <c r="L391" s="371">
        <f>IF(PolicyData[[#This Row],[ClaimFiled_Last5Yrs]]="Y",1,0)</f>
        <v>1</v>
      </c>
      <c r="M391" s="371">
        <f>IF(PolicyData[[#This Row],[Region]]="EAST",1,0)</f>
        <v>1</v>
      </c>
    </row>
    <row r="392" spans="1:13" ht="16" x14ac:dyDescent="0.2">
      <c r="A392" s="142" t="s">
        <v>682</v>
      </c>
      <c r="B392" s="143">
        <v>46165</v>
      </c>
      <c r="C392" s="142" t="s">
        <v>289</v>
      </c>
      <c r="D392" s="142">
        <v>2026</v>
      </c>
      <c r="E392" s="142">
        <v>86</v>
      </c>
      <c r="F392" s="144" t="s">
        <v>294</v>
      </c>
      <c r="G392" s="142" t="s">
        <v>87</v>
      </c>
      <c r="H392" s="146">
        <v>900</v>
      </c>
      <c r="I392" s="142" t="s">
        <v>290</v>
      </c>
      <c r="J392" s="142" t="s">
        <v>291</v>
      </c>
      <c r="K392" s="142" t="s">
        <v>290</v>
      </c>
      <c r="L392" s="371">
        <f>IF(PolicyData[[#This Row],[ClaimFiled_Last5Yrs]]="Y",1,0)</f>
        <v>0</v>
      </c>
      <c r="M392" s="371">
        <f>IF(PolicyData[[#This Row],[Region]]="EAST",1,0)</f>
        <v>0</v>
      </c>
    </row>
    <row r="393" spans="1:13" ht="16" x14ac:dyDescent="0.2">
      <c r="A393" s="142" t="s">
        <v>683</v>
      </c>
      <c r="B393" s="143">
        <v>46206</v>
      </c>
      <c r="C393" s="142" t="s">
        <v>292</v>
      </c>
      <c r="D393" s="142">
        <v>2026</v>
      </c>
      <c r="E393" s="142">
        <v>46</v>
      </c>
      <c r="F393" s="144" t="s">
        <v>282</v>
      </c>
      <c r="G393" s="142" t="s">
        <v>85</v>
      </c>
      <c r="H393" s="145">
        <v>2330</v>
      </c>
      <c r="I393" s="142" t="s">
        <v>290</v>
      </c>
      <c r="J393" s="142" t="s">
        <v>291</v>
      </c>
      <c r="K393" s="142" t="s">
        <v>290</v>
      </c>
      <c r="L393" s="371">
        <f>IF(PolicyData[[#This Row],[ClaimFiled_Last5Yrs]]="Y",1,0)</f>
        <v>0</v>
      </c>
      <c r="M393" s="371">
        <f>IF(PolicyData[[#This Row],[Region]]="EAST",1,0)</f>
        <v>0</v>
      </c>
    </row>
    <row r="394" spans="1:13" ht="16" x14ac:dyDescent="0.2">
      <c r="A394" s="142" t="s">
        <v>684</v>
      </c>
      <c r="B394" s="143">
        <v>46255</v>
      </c>
      <c r="C394" s="142" t="s">
        <v>293</v>
      </c>
      <c r="D394" s="142">
        <v>2026</v>
      </c>
      <c r="E394" s="142">
        <v>60</v>
      </c>
      <c r="F394" s="144" t="s">
        <v>281</v>
      </c>
      <c r="G394" s="142" t="s">
        <v>90</v>
      </c>
      <c r="H394" s="146">
        <v>2100</v>
      </c>
      <c r="I394" s="142" t="s">
        <v>291</v>
      </c>
      <c r="J394" s="142" t="s">
        <v>291</v>
      </c>
      <c r="K394" s="142" t="s">
        <v>290</v>
      </c>
      <c r="L394" s="371">
        <f>IF(PolicyData[[#This Row],[ClaimFiled_Last5Yrs]]="Y",1,0)</f>
        <v>1</v>
      </c>
      <c r="M394" s="371">
        <f>IF(PolicyData[[#This Row],[Region]]="EAST",1,0)</f>
        <v>0</v>
      </c>
    </row>
    <row r="395" spans="1:13" ht="16" x14ac:dyDescent="0.2">
      <c r="A395" s="142" t="s">
        <v>685</v>
      </c>
      <c r="B395" s="143">
        <v>46289</v>
      </c>
      <c r="C395" s="142" t="s">
        <v>295</v>
      </c>
      <c r="D395" s="142">
        <v>2026</v>
      </c>
      <c r="E395" s="142">
        <v>33</v>
      </c>
      <c r="F395" s="144" t="s">
        <v>283</v>
      </c>
      <c r="G395" s="142" t="s">
        <v>85</v>
      </c>
      <c r="H395" s="145">
        <v>3500</v>
      </c>
      <c r="I395" s="142" t="s">
        <v>290</v>
      </c>
      <c r="J395" s="142" t="s">
        <v>290</v>
      </c>
      <c r="K395" s="142" t="s">
        <v>291</v>
      </c>
      <c r="L395" s="371">
        <f>IF(PolicyData[[#This Row],[ClaimFiled_Last5Yrs]]="Y",1,0)</f>
        <v>0</v>
      </c>
      <c r="M395" s="371">
        <f>IF(PolicyData[[#This Row],[Region]]="EAST",1,0)</f>
        <v>1</v>
      </c>
    </row>
    <row r="396" spans="1:13" ht="16" x14ac:dyDescent="0.2">
      <c r="A396" s="142" t="s">
        <v>686</v>
      </c>
      <c r="B396" s="143">
        <v>45974</v>
      </c>
      <c r="C396" s="142" t="s">
        <v>296</v>
      </c>
      <c r="D396" s="142">
        <v>2026</v>
      </c>
      <c r="E396" s="142">
        <v>87</v>
      </c>
      <c r="F396" s="144" t="s">
        <v>294</v>
      </c>
      <c r="G396" s="142" t="s">
        <v>87</v>
      </c>
      <c r="H396" s="146">
        <v>1520</v>
      </c>
      <c r="I396" s="142" t="s">
        <v>290</v>
      </c>
      <c r="J396" s="142" t="s">
        <v>291</v>
      </c>
      <c r="K396" s="142" t="s">
        <v>290</v>
      </c>
      <c r="L396" s="371">
        <f>IF(PolicyData[[#This Row],[ClaimFiled_Last5Yrs]]="Y",1,0)</f>
        <v>0</v>
      </c>
      <c r="M396" s="371">
        <f>IF(PolicyData[[#This Row],[Region]]="EAST",1,0)</f>
        <v>0</v>
      </c>
    </row>
    <row r="397" spans="1:13" ht="16" x14ac:dyDescent="0.2">
      <c r="A397" s="142" t="s">
        <v>687</v>
      </c>
      <c r="B397" s="143">
        <v>46051</v>
      </c>
      <c r="C397" s="142" t="s">
        <v>297</v>
      </c>
      <c r="D397" s="142">
        <v>2026</v>
      </c>
      <c r="E397" s="142">
        <v>48</v>
      </c>
      <c r="F397" s="144" t="s">
        <v>282</v>
      </c>
      <c r="G397" s="142" t="s">
        <v>85</v>
      </c>
      <c r="H397" s="146">
        <v>2900</v>
      </c>
      <c r="I397" s="142" t="s">
        <v>290</v>
      </c>
      <c r="J397" s="142" t="s">
        <v>291</v>
      </c>
      <c r="K397" s="142" t="s">
        <v>290</v>
      </c>
      <c r="L397" s="371">
        <f>IF(PolicyData[[#This Row],[ClaimFiled_Last5Yrs]]="Y",1,0)</f>
        <v>0</v>
      </c>
      <c r="M397" s="371">
        <f>IF(PolicyData[[#This Row],[Region]]="EAST",1,0)</f>
        <v>0</v>
      </c>
    </row>
    <row r="398" spans="1:13" ht="16" x14ac:dyDescent="0.2">
      <c r="A398" s="142" t="s">
        <v>688</v>
      </c>
      <c r="B398" s="143">
        <v>46069</v>
      </c>
      <c r="C398" s="142" t="s">
        <v>298</v>
      </c>
      <c r="D398" s="142">
        <v>2026</v>
      </c>
      <c r="E398" s="142">
        <v>91</v>
      </c>
      <c r="F398" s="144" t="s">
        <v>281</v>
      </c>
      <c r="G398" s="142" t="s">
        <v>87</v>
      </c>
      <c r="H398" s="145">
        <v>1050</v>
      </c>
      <c r="I398" s="142" t="s">
        <v>290</v>
      </c>
      <c r="J398" s="142" t="s">
        <v>291</v>
      </c>
      <c r="K398" s="142" t="s">
        <v>290</v>
      </c>
      <c r="L398" s="371">
        <f>IF(PolicyData[[#This Row],[ClaimFiled_Last5Yrs]]="Y",1,0)</f>
        <v>0</v>
      </c>
      <c r="M398" s="371">
        <f>IF(PolicyData[[#This Row],[Region]]="EAST",1,0)</f>
        <v>0</v>
      </c>
    </row>
    <row r="399" spans="1:13" ht="16" x14ac:dyDescent="0.2">
      <c r="A399" s="142" t="s">
        <v>689</v>
      </c>
      <c r="B399" s="143">
        <v>46086</v>
      </c>
      <c r="C399" s="142" t="s">
        <v>299</v>
      </c>
      <c r="D399" s="142">
        <v>2026</v>
      </c>
      <c r="E399" s="142">
        <v>51</v>
      </c>
      <c r="F399" s="144" t="s">
        <v>283</v>
      </c>
      <c r="G399" s="142" t="s">
        <v>85</v>
      </c>
      <c r="H399" s="145">
        <v>2700</v>
      </c>
      <c r="I399" s="142" t="s">
        <v>291</v>
      </c>
      <c r="J399" s="142" t="s">
        <v>291</v>
      </c>
      <c r="K399" s="142" t="s">
        <v>290</v>
      </c>
      <c r="L399" s="371">
        <f>IF(PolicyData[[#This Row],[ClaimFiled_Last5Yrs]]="Y",1,0)</f>
        <v>1</v>
      </c>
      <c r="M399" s="371">
        <f>IF(PolicyData[[#This Row],[Region]]="EAST",1,0)</f>
        <v>1</v>
      </c>
    </row>
    <row r="400" spans="1:13" ht="16" x14ac:dyDescent="0.2">
      <c r="A400" s="142" t="s">
        <v>690</v>
      </c>
      <c r="B400" s="143">
        <v>46130</v>
      </c>
      <c r="C400" s="142" t="s">
        <v>300</v>
      </c>
      <c r="D400" s="142">
        <v>2026</v>
      </c>
      <c r="E400" s="142">
        <v>81</v>
      </c>
      <c r="F400" s="144" t="s">
        <v>294</v>
      </c>
      <c r="G400" s="142" t="s">
        <v>90</v>
      </c>
      <c r="H400" s="146">
        <v>2300</v>
      </c>
      <c r="I400" s="142" t="s">
        <v>290</v>
      </c>
      <c r="J400" s="142" t="s">
        <v>291</v>
      </c>
      <c r="K400" s="142" t="s">
        <v>290</v>
      </c>
      <c r="L400" s="371">
        <f>IF(PolicyData[[#This Row],[ClaimFiled_Last5Yrs]]="Y",1,0)</f>
        <v>0</v>
      </c>
      <c r="M400" s="371">
        <f>IF(PolicyData[[#This Row],[Region]]="EAST",1,0)</f>
        <v>0</v>
      </c>
    </row>
    <row r="401" spans="1:13" ht="16" x14ac:dyDescent="0.2">
      <c r="A401" s="142" t="s">
        <v>691</v>
      </c>
      <c r="B401" s="143">
        <v>46173</v>
      </c>
      <c r="C401" s="142" t="s">
        <v>301</v>
      </c>
      <c r="D401" s="142">
        <v>2026</v>
      </c>
      <c r="E401" s="142">
        <v>42</v>
      </c>
      <c r="F401" s="144" t="s">
        <v>282</v>
      </c>
      <c r="G401" s="142" t="s">
        <v>85</v>
      </c>
      <c r="H401" s="146">
        <v>3100</v>
      </c>
      <c r="I401" s="142" t="s">
        <v>291</v>
      </c>
      <c r="J401" s="142" t="s">
        <v>290</v>
      </c>
      <c r="K401" s="142" t="s">
        <v>290</v>
      </c>
      <c r="L401" s="371">
        <f>IF(PolicyData[[#This Row],[ClaimFiled_Last5Yrs]]="Y",1,0)</f>
        <v>1</v>
      </c>
      <c r="M401" s="371">
        <f>IF(PolicyData[[#This Row],[Region]]="EAST",1,0)</f>
        <v>0</v>
      </c>
    </row>
    <row r="402" spans="1:13" ht="16" x14ac:dyDescent="0.2">
      <c r="A402" s="142" t="s">
        <v>692</v>
      </c>
      <c r="B402" s="143">
        <v>46224</v>
      </c>
      <c r="C402" s="142" t="s">
        <v>289</v>
      </c>
      <c r="D402" s="142">
        <v>2026</v>
      </c>
      <c r="E402" s="142">
        <v>56</v>
      </c>
      <c r="F402" s="144" t="s">
        <v>281</v>
      </c>
      <c r="G402" s="142" t="s">
        <v>85</v>
      </c>
      <c r="H402" s="145">
        <v>2450</v>
      </c>
      <c r="I402" s="142" t="s">
        <v>290</v>
      </c>
      <c r="J402" s="142" t="s">
        <v>291</v>
      </c>
      <c r="K402" s="142" t="s">
        <v>290</v>
      </c>
      <c r="L402" s="371">
        <f>IF(PolicyData[[#This Row],[ClaimFiled_Last5Yrs]]="Y",1,0)</f>
        <v>0</v>
      </c>
      <c r="M402" s="371">
        <f>IF(PolicyData[[#This Row],[Region]]="EAST",1,0)</f>
        <v>0</v>
      </c>
    </row>
    <row r="403" spans="1:13" ht="16" x14ac:dyDescent="0.2">
      <c r="A403" s="142" t="s">
        <v>693</v>
      </c>
      <c r="B403" s="143">
        <v>46241</v>
      </c>
      <c r="C403" s="142" t="s">
        <v>292</v>
      </c>
      <c r="D403" s="142">
        <v>2026</v>
      </c>
      <c r="E403" s="142">
        <v>66</v>
      </c>
      <c r="F403" s="144" t="s">
        <v>283</v>
      </c>
      <c r="G403" s="142" t="s">
        <v>87</v>
      </c>
      <c r="H403" s="145">
        <v>1190</v>
      </c>
      <c r="I403" s="142" t="s">
        <v>290</v>
      </c>
      <c r="J403" s="142" t="s">
        <v>291</v>
      </c>
      <c r="K403" s="142" t="s">
        <v>291</v>
      </c>
      <c r="L403" s="371">
        <f>IF(PolicyData[[#This Row],[ClaimFiled_Last5Yrs]]="Y",1,0)</f>
        <v>0</v>
      </c>
      <c r="M403" s="371">
        <f>IF(PolicyData[[#This Row],[Region]]="EAST",1,0)</f>
        <v>1</v>
      </c>
    </row>
    <row r="404" spans="1:13" ht="16" x14ac:dyDescent="0.2">
      <c r="A404" s="142" t="s">
        <v>694</v>
      </c>
      <c r="B404" s="143">
        <v>46282</v>
      </c>
      <c r="C404" s="142" t="s">
        <v>293</v>
      </c>
      <c r="D404" s="142">
        <v>2026</v>
      </c>
      <c r="E404" s="142">
        <v>35</v>
      </c>
      <c r="F404" s="144" t="s">
        <v>294</v>
      </c>
      <c r="G404" s="142" t="s">
        <v>85</v>
      </c>
      <c r="H404" s="146">
        <v>3350</v>
      </c>
      <c r="I404" s="142" t="s">
        <v>291</v>
      </c>
      <c r="J404" s="142" t="s">
        <v>290</v>
      </c>
      <c r="K404" s="142" t="s">
        <v>290</v>
      </c>
      <c r="L404" s="371">
        <f>IF(PolicyData[[#This Row],[ClaimFiled_Last5Yrs]]="Y",1,0)</f>
        <v>1</v>
      </c>
      <c r="M404" s="371">
        <f>IF(PolicyData[[#This Row],[Region]]="EAST",1,0)</f>
        <v>0</v>
      </c>
    </row>
    <row r="405" spans="1:13" ht="16" x14ac:dyDescent="0.2">
      <c r="A405" s="142" t="s">
        <v>695</v>
      </c>
      <c r="B405" s="143">
        <v>46324</v>
      </c>
      <c r="C405" s="142" t="s">
        <v>295</v>
      </c>
      <c r="D405" s="142">
        <v>2026</v>
      </c>
      <c r="E405" s="142">
        <v>82</v>
      </c>
      <c r="F405" s="144" t="s">
        <v>282</v>
      </c>
      <c r="G405" s="142" t="s">
        <v>90</v>
      </c>
      <c r="H405" s="145">
        <v>1340</v>
      </c>
      <c r="I405" s="142" t="s">
        <v>290</v>
      </c>
      <c r="J405" s="142" t="s">
        <v>291</v>
      </c>
      <c r="K405" s="142" t="s">
        <v>290</v>
      </c>
      <c r="L405" s="371">
        <f>IF(PolicyData[[#This Row],[ClaimFiled_Last5Yrs]]="Y",1,0)</f>
        <v>0</v>
      </c>
      <c r="M405" s="371">
        <f>IF(PolicyData[[#This Row],[Region]]="EAST",1,0)</f>
        <v>0</v>
      </c>
    </row>
    <row r="406" spans="1:13" ht="16" x14ac:dyDescent="0.2">
      <c r="A406" s="142" t="s">
        <v>696</v>
      </c>
      <c r="B406" s="143">
        <v>45976</v>
      </c>
      <c r="C406" s="142" t="s">
        <v>296</v>
      </c>
      <c r="D406" s="142">
        <v>2026</v>
      </c>
      <c r="E406" s="142">
        <v>59</v>
      </c>
      <c r="F406" s="144" t="s">
        <v>281</v>
      </c>
      <c r="G406" s="142" t="s">
        <v>85</v>
      </c>
      <c r="H406" s="145">
        <v>3150</v>
      </c>
      <c r="I406" s="142" t="s">
        <v>290</v>
      </c>
      <c r="J406" s="142" t="s">
        <v>291</v>
      </c>
      <c r="K406" s="142" t="s">
        <v>290</v>
      </c>
      <c r="L406" s="371">
        <f>IF(PolicyData[[#This Row],[ClaimFiled_Last5Yrs]]="Y",1,0)</f>
        <v>0</v>
      </c>
      <c r="M406" s="371">
        <f>IF(PolicyData[[#This Row],[Region]]="EAST",1,0)</f>
        <v>0</v>
      </c>
    </row>
    <row r="407" spans="1:13" ht="16" x14ac:dyDescent="0.2">
      <c r="A407" s="142" t="s">
        <v>697</v>
      </c>
      <c r="B407" s="143">
        <v>45999</v>
      </c>
      <c r="C407" s="142" t="s">
        <v>297</v>
      </c>
      <c r="D407" s="142">
        <v>2026</v>
      </c>
      <c r="E407" s="142">
        <v>88</v>
      </c>
      <c r="F407" s="144" t="s">
        <v>283</v>
      </c>
      <c r="G407" s="142" t="s">
        <v>87</v>
      </c>
      <c r="H407" s="146">
        <v>1080</v>
      </c>
      <c r="I407" s="142" t="s">
        <v>290</v>
      </c>
      <c r="J407" s="142" t="s">
        <v>291</v>
      </c>
      <c r="K407" s="142" t="s">
        <v>290</v>
      </c>
      <c r="L407" s="371">
        <f>IF(PolicyData[[#This Row],[ClaimFiled_Last5Yrs]]="Y",1,0)</f>
        <v>0</v>
      </c>
      <c r="M407" s="371">
        <f>IF(PolicyData[[#This Row],[Region]]="EAST",1,0)</f>
        <v>1</v>
      </c>
    </row>
    <row r="408" spans="1:13" ht="16" x14ac:dyDescent="0.2">
      <c r="A408" s="142" t="s">
        <v>698</v>
      </c>
      <c r="B408" s="143">
        <v>46033</v>
      </c>
      <c r="C408" s="142" t="s">
        <v>298</v>
      </c>
      <c r="D408" s="142">
        <v>2026</v>
      </c>
      <c r="E408" s="142">
        <v>46</v>
      </c>
      <c r="F408" s="144" t="s">
        <v>282</v>
      </c>
      <c r="G408" s="142" t="s">
        <v>85</v>
      </c>
      <c r="H408" s="145">
        <v>2950</v>
      </c>
      <c r="I408" s="142" t="s">
        <v>291</v>
      </c>
      <c r="J408" s="142" t="s">
        <v>290</v>
      </c>
      <c r="K408" s="142" t="s">
        <v>290</v>
      </c>
      <c r="L408" s="371">
        <f>IF(PolicyData[[#This Row],[ClaimFiled_Last5Yrs]]="Y",1,0)</f>
        <v>1</v>
      </c>
      <c r="M408" s="371">
        <f>IF(PolicyData[[#This Row],[Region]]="EAST",1,0)</f>
        <v>0</v>
      </c>
    </row>
    <row r="409" spans="1:13" ht="16" x14ac:dyDescent="0.2">
      <c r="A409" s="142" t="s">
        <v>699</v>
      </c>
      <c r="B409" s="143">
        <v>46077</v>
      </c>
      <c r="C409" s="142" t="s">
        <v>299</v>
      </c>
      <c r="D409" s="142">
        <v>2026</v>
      </c>
      <c r="E409" s="142">
        <v>83</v>
      </c>
      <c r="F409" s="144" t="s">
        <v>294</v>
      </c>
      <c r="G409" s="142" t="s">
        <v>85</v>
      </c>
      <c r="H409" s="146">
        <v>2700</v>
      </c>
      <c r="I409" s="142" t="s">
        <v>290</v>
      </c>
      <c r="J409" s="142" t="s">
        <v>291</v>
      </c>
      <c r="K409" s="142" t="s">
        <v>290</v>
      </c>
      <c r="L409" s="371">
        <f>IF(PolicyData[[#This Row],[ClaimFiled_Last5Yrs]]="Y",1,0)</f>
        <v>0</v>
      </c>
      <c r="M409" s="371">
        <f>IF(PolicyData[[#This Row],[Region]]="EAST",1,0)</f>
        <v>0</v>
      </c>
    </row>
    <row r="410" spans="1:13" ht="16" x14ac:dyDescent="0.2">
      <c r="A410" s="142" t="s">
        <v>700</v>
      </c>
      <c r="B410" s="143">
        <v>46097</v>
      </c>
      <c r="C410" s="142" t="s">
        <v>300</v>
      </c>
      <c r="D410" s="142">
        <v>2026</v>
      </c>
      <c r="E410" s="142">
        <v>55</v>
      </c>
      <c r="F410" s="144" t="s">
        <v>281</v>
      </c>
      <c r="G410" s="142" t="s">
        <v>87</v>
      </c>
      <c r="H410" s="146">
        <v>1380</v>
      </c>
      <c r="I410" s="142" t="s">
        <v>291</v>
      </c>
      <c r="J410" s="142" t="s">
        <v>291</v>
      </c>
      <c r="K410" s="142" t="s">
        <v>290</v>
      </c>
      <c r="L410" s="371">
        <f>IF(PolicyData[[#This Row],[ClaimFiled_Last5Yrs]]="Y",1,0)</f>
        <v>1</v>
      </c>
      <c r="M410" s="371">
        <f>IF(PolicyData[[#This Row],[Region]]="EAST",1,0)</f>
        <v>0</v>
      </c>
    </row>
    <row r="411" spans="1:13" ht="16" x14ac:dyDescent="0.2">
      <c r="A411" s="142" t="s">
        <v>701</v>
      </c>
      <c r="B411" s="143">
        <v>46142</v>
      </c>
      <c r="C411" s="142" t="s">
        <v>301</v>
      </c>
      <c r="D411" s="142">
        <v>2026</v>
      </c>
      <c r="E411" s="142">
        <v>40</v>
      </c>
      <c r="F411" s="144" t="s">
        <v>283</v>
      </c>
      <c r="G411" s="142" t="s">
        <v>85</v>
      </c>
      <c r="H411" s="146">
        <v>3250</v>
      </c>
      <c r="I411" s="142" t="s">
        <v>290</v>
      </c>
      <c r="J411" s="142" t="s">
        <v>291</v>
      </c>
      <c r="K411" s="142" t="s">
        <v>291</v>
      </c>
      <c r="L411" s="371">
        <f>IF(PolicyData[[#This Row],[ClaimFiled_Last5Yrs]]="Y",1,0)</f>
        <v>0</v>
      </c>
      <c r="M411" s="371">
        <f>IF(PolicyData[[#This Row],[Region]]="EAST",1,0)</f>
        <v>1</v>
      </c>
    </row>
    <row r="412" spans="1:13" ht="16" x14ac:dyDescent="0.2">
      <c r="A412" s="142" t="s">
        <v>702</v>
      </c>
      <c r="B412" s="143">
        <v>46165</v>
      </c>
      <c r="C412" s="142" t="s">
        <v>289</v>
      </c>
      <c r="D412" s="142">
        <v>2026</v>
      </c>
      <c r="E412" s="142">
        <v>89</v>
      </c>
      <c r="F412" s="144" t="s">
        <v>294</v>
      </c>
      <c r="G412" s="142" t="s">
        <v>87</v>
      </c>
      <c r="H412" s="146">
        <v>930</v>
      </c>
      <c r="I412" s="142" t="s">
        <v>290</v>
      </c>
      <c r="J412" s="142" t="s">
        <v>291</v>
      </c>
      <c r="K412" s="142" t="s">
        <v>290</v>
      </c>
      <c r="L412" s="371">
        <f>IF(PolicyData[[#This Row],[ClaimFiled_Last5Yrs]]="Y",1,0)</f>
        <v>0</v>
      </c>
      <c r="M412" s="371">
        <f>IF(PolicyData[[#This Row],[Region]]="EAST",1,0)</f>
        <v>0</v>
      </c>
    </row>
    <row r="413" spans="1:13" ht="16" x14ac:dyDescent="0.2">
      <c r="A413" s="142" t="s">
        <v>703</v>
      </c>
      <c r="B413" s="143">
        <v>46207</v>
      </c>
      <c r="C413" s="142" t="s">
        <v>292</v>
      </c>
      <c r="D413" s="142">
        <v>2026</v>
      </c>
      <c r="E413" s="142">
        <v>47</v>
      </c>
      <c r="F413" s="144" t="s">
        <v>282</v>
      </c>
      <c r="G413" s="142" t="s">
        <v>85</v>
      </c>
      <c r="H413" s="145">
        <v>2530</v>
      </c>
      <c r="I413" s="142" t="s">
        <v>290</v>
      </c>
      <c r="J413" s="142" t="s">
        <v>291</v>
      </c>
      <c r="K413" s="142" t="s">
        <v>290</v>
      </c>
      <c r="L413" s="371">
        <f>IF(PolicyData[[#This Row],[ClaimFiled_Last5Yrs]]="Y",1,0)</f>
        <v>0</v>
      </c>
      <c r="M413" s="371">
        <f>IF(PolicyData[[#This Row],[Region]]="EAST",1,0)</f>
        <v>0</v>
      </c>
    </row>
    <row r="414" spans="1:13" ht="16" x14ac:dyDescent="0.2">
      <c r="A414" s="142" t="s">
        <v>704</v>
      </c>
      <c r="B414" s="143">
        <v>46255</v>
      </c>
      <c r="C414" s="142" t="s">
        <v>293</v>
      </c>
      <c r="D414" s="142">
        <v>2026</v>
      </c>
      <c r="E414" s="142">
        <v>61</v>
      </c>
      <c r="F414" s="144" t="s">
        <v>281</v>
      </c>
      <c r="G414" s="142" t="s">
        <v>90</v>
      </c>
      <c r="H414" s="145">
        <v>2200</v>
      </c>
      <c r="I414" s="142" t="s">
        <v>291</v>
      </c>
      <c r="J414" s="142" t="s">
        <v>291</v>
      </c>
      <c r="K414" s="142" t="s">
        <v>290</v>
      </c>
      <c r="L414" s="371">
        <f>IF(PolicyData[[#This Row],[ClaimFiled_Last5Yrs]]="Y",1,0)</f>
        <v>1</v>
      </c>
      <c r="M414" s="371">
        <f>IF(PolicyData[[#This Row],[Region]]="EAST",1,0)</f>
        <v>0</v>
      </c>
    </row>
    <row r="415" spans="1:13" ht="16" x14ac:dyDescent="0.2">
      <c r="A415" s="142" t="s">
        <v>705</v>
      </c>
      <c r="B415" s="143">
        <v>46290</v>
      </c>
      <c r="C415" s="142" t="s">
        <v>295</v>
      </c>
      <c r="D415" s="142">
        <v>2026</v>
      </c>
      <c r="E415" s="142">
        <v>34</v>
      </c>
      <c r="F415" s="144" t="s">
        <v>283</v>
      </c>
      <c r="G415" s="142" t="s">
        <v>85</v>
      </c>
      <c r="H415" s="145">
        <v>3550</v>
      </c>
      <c r="I415" s="142" t="s">
        <v>290</v>
      </c>
      <c r="J415" s="142" t="s">
        <v>290</v>
      </c>
      <c r="K415" s="142" t="s">
        <v>291</v>
      </c>
      <c r="L415" s="371">
        <f>IF(PolicyData[[#This Row],[ClaimFiled_Last5Yrs]]="Y",1,0)</f>
        <v>0</v>
      </c>
      <c r="M415" s="371">
        <f>IF(PolicyData[[#This Row],[Region]]="EAST",1,0)</f>
        <v>1</v>
      </c>
    </row>
    <row r="416" spans="1:13" ht="16" x14ac:dyDescent="0.2">
      <c r="A416" s="142" t="s">
        <v>706</v>
      </c>
      <c r="B416" s="143">
        <v>45975</v>
      </c>
      <c r="C416" s="142" t="s">
        <v>296</v>
      </c>
      <c r="D416" s="142">
        <v>2026</v>
      </c>
      <c r="E416" s="142">
        <v>90</v>
      </c>
      <c r="F416" s="144" t="s">
        <v>294</v>
      </c>
      <c r="G416" s="142" t="s">
        <v>87</v>
      </c>
      <c r="H416" s="145">
        <v>1550</v>
      </c>
      <c r="I416" s="142" t="s">
        <v>290</v>
      </c>
      <c r="J416" s="142" t="s">
        <v>291</v>
      </c>
      <c r="K416" s="142" t="s">
        <v>290</v>
      </c>
      <c r="L416" s="371">
        <f>IF(PolicyData[[#This Row],[ClaimFiled_Last5Yrs]]="Y",1,0)</f>
        <v>0</v>
      </c>
      <c r="M416" s="371">
        <f>IF(PolicyData[[#This Row],[Region]]="EAST",1,0)</f>
        <v>0</v>
      </c>
    </row>
    <row r="417" spans="1:13" ht="16" x14ac:dyDescent="0.2">
      <c r="A417" s="142" t="s">
        <v>707</v>
      </c>
      <c r="B417" s="143">
        <v>46051</v>
      </c>
      <c r="C417" s="142" t="s">
        <v>297</v>
      </c>
      <c r="D417" s="142">
        <v>2026</v>
      </c>
      <c r="E417" s="142">
        <v>49</v>
      </c>
      <c r="F417" s="144" t="s">
        <v>282</v>
      </c>
      <c r="G417" s="142" t="s">
        <v>85</v>
      </c>
      <c r="H417" s="145">
        <v>3000</v>
      </c>
      <c r="I417" s="142" t="s">
        <v>290</v>
      </c>
      <c r="J417" s="142" t="s">
        <v>291</v>
      </c>
      <c r="K417" s="142" t="s">
        <v>290</v>
      </c>
      <c r="L417" s="371">
        <f>IF(PolicyData[[#This Row],[ClaimFiled_Last5Yrs]]="Y",1,0)</f>
        <v>0</v>
      </c>
      <c r="M417" s="371">
        <f>IF(PolicyData[[#This Row],[Region]]="EAST",1,0)</f>
        <v>0</v>
      </c>
    </row>
    <row r="418" spans="1:13" ht="16" x14ac:dyDescent="0.2">
      <c r="A418" s="142" t="s">
        <v>708</v>
      </c>
      <c r="B418" s="143">
        <v>46070</v>
      </c>
      <c r="C418" s="142" t="s">
        <v>298</v>
      </c>
      <c r="D418" s="142">
        <v>2026</v>
      </c>
      <c r="E418" s="142">
        <v>92</v>
      </c>
      <c r="F418" s="144" t="s">
        <v>281</v>
      </c>
      <c r="G418" s="142" t="s">
        <v>87</v>
      </c>
      <c r="H418" s="145">
        <v>1110</v>
      </c>
      <c r="I418" s="142" t="s">
        <v>290</v>
      </c>
      <c r="J418" s="142" t="s">
        <v>291</v>
      </c>
      <c r="K418" s="142" t="s">
        <v>290</v>
      </c>
      <c r="L418" s="371">
        <f>IF(PolicyData[[#This Row],[ClaimFiled_Last5Yrs]]="Y",1,0)</f>
        <v>0</v>
      </c>
      <c r="M418" s="371">
        <f>IF(PolicyData[[#This Row],[Region]]="EAST",1,0)</f>
        <v>0</v>
      </c>
    </row>
    <row r="419" spans="1:13" ht="16" x14ac:dyDescent="0.2">
      <c r="A419" s="142" t="s">
        <v>709</v>
      </c>
      <c r="B419" s="143">
        <v>46087</v>
      </c>
      <c r="C419" s="142" t="s">
        <v>299</v>
      </c>
      <c r="D419" s="142">
        <v>2026</v>
      </c>
      <c r="E419" s="142">
        <v>52</v>
      </c>
      <c r="F419" s="144" t="s">
        <v>283</v>
      </c>
      <c r="G419" s="142" t="s">
        <v>85</v>
      </c>
      <c r="H419" s="145">
        <v>2800</v>
      </c>
      <c r="I419" s="142" t="s">
        <v>291</v>
      </c>
      <c r="J419" s="142" t="s">
        <v>291</v>
      </c>
      <c r="K419" s="142" t="s">
        <v>290</v>
      </c>
      <c r="L419" s="371">
        <f>IF(PolicyData[[#This Row],[ClaimFiled_Last5Yrs]]="Y",1,0)</f>
        <v>1</v>
      </c>
      <c r="M419" s="371">
        <f>IF(PolicyData[[#This Row],[Region]]="EAST",1,0)</f>
        <v>1</v>
      </c>
    </row>
    <row r="420" spans="1:13" ht="16" x14ac:dyDescent="0.2">
      <c r="A420" s="142" t="s">
        <v>710</v>
      </c>
      <c r="B420" s="143">
        <v>46131</v>
      </c>
      <c r="C420" s="142" t="s">
        <v>300</v>
      </c>
      <c r="D420" s="142">
        <v>2026</v>
      </c>
      <c r="E420" s="142">
        <v>84</v>
      </c>
      <c r="F420" s="144" t="s">
        <v>294</v>
      </c>
      <c r="G420" s="142" t="s">
        <v>90</v>
      </c>
      <c r="H420" s="145">
        <v>2400</v>
      </c>
      <c r="I420" s="142" t="s">
        <v>290</v>
      </c>
      <c r="J420" s="142" t="s">
        <v>291</v>
      </c>
      <c r="K420" s="142" t="s">
        <v>290</v>
      </c>
      <c r="L420" s="371">
        <f>IF(PolicyData[[#This Row],[ClaimFiled_Last5Yrs]]="Y",1,0)</f>
        <v>0</v>
      </c>
      <c r="M420" s="371">
        <f>IF(PolicyData[[#This Row],[Region]]="EAST",1,0)</f>
        <v>0</v>
      </c>
    </row>
    <row r="421" spans="1:13" ht="16" x14ac:dyDescent="0.2">
      <c r="A421" s="142" t="s">
        <v>711</v>
      </c>
      <c r="B421" s="143">
        <v>46146</v>
      </c>
      <c r="C421" s="142" t="s">
        <v>301</v>
      </c>
      <c r="D421" s="142">
        <v>2026</v>
      </c>
      <c r="E421" s="142">
        <v>43</v>
      </c>
      <c r="F421" s="144" t="s">
        <v>282</v>
      </c>
      <c r="G421" s="142" t="s">
        <v>85</v>
      </c>
      <c r="H421" s="145">
        <v>3200</v>
      </c>
      <c r="I421" s="142" t="s">
        <v>291</v>
      </c>
      <c r="J421" s="142" t="s">
        <v>290</v>
      </c>
      <c r="K421" s="142" t="s">
        <v>290</v>
      </c>
      <c r="L421" s="371">
        <f>IF(PolicyData[[#This Row],[ClaimFiled_Last5Yrs]]="Y",1,0)</f>
        <v>1</v>
      </c>
      <c r="M421" s="371">
        <f>IF(PolicyData[[#This Row],[Region]]="EAST",1,0)</f>
        <v>0</v>
      </c>
    </row>
    <row r="422" spans="1:13" ht="16" x14ac:dyDescent="0.2">
      <c r="A422" s="142" t="s">
        <v>712</v>
      </c>
      <c r="B422" s="143">
        <v>46224</v>
      </c>
      <c r="C422" s="142" t="s">
        <v>289</v>
      </c>
      <c r="D422" s="142">
        <v>2026</v>
      </c>
      <c r="E422" s="142">
        <v>57</v>
      </c>
      <c r="F422" s="144" t="s">
        <v>281</v>
      </c>
      <c r="G422" s="142" t="s">
        <v>85</v>
      </c>
      <c r="H422" s="146">
        <v>2500</v>
      </c>
      <c r="I422" s="142" t="s">
        <v>290</v>
      </c>
      <c r="J422" s="142" t="s">
        <v>291</v>
      </c>
      <c r="K422" s="142" t="s">
        <v>290</v>
      </c>
      <c r="L422" s="371">
        <f>IF(PolicyData[[#This Row],[ClaimFiled_Last5Yrs]]="Y",1,0)</f>
        <v>0</v>
      </c>
      <c r="M422" s="371">
        <f>IF(PolicyData[[#This Row],[Region]]="EAST",1,0)</f>
        <v>0</v>
      </c>
    </row>
    <row r="423" spans="1:13" ht="16" x14ac:dyDescent="0.2">
      <c r="A423" s="142" t="s">
        <v>713</v>
      </c>
      <c r="B423" s="143">
        <v>46241</v>
      </c>
      <c r="C423" s="142" t="s">
        <v>292</v>
      </c>
      <c r="D423" s="142">
        <v>2026</v>
      </c>
      <c r="E423" s="142">
        <v>67</v>
      </c>
      <c r="F423" s="144" t="s">
        <v>283</v>
      </c>
      <c r="G423" s="142" t="s">
        <v>87</v>
      </c>
      <c r="H423" s="145">
        <v>1220</v>
      </c>
      <c r="I423" s="142" t="s">
        <v>291</v>
      </c>
      <c r="J423" s="142" t="s">
        <v>291</v>
      </c>
      <c r="K423" s="142" t="s">
        <v>290</v>
      </c>
      <c r="L423" s="371">
        <f>IF(PolicyData[[#This Row],[ClaimFiled_Last5Yrs]]="Y",1,0)</f>
        <v>1</v>
      </c>
      <c r="M423" s="371">
        <f>IF(PolicyData[[#This Row],[Region]]="EAST",1,0)</f>
        <v>1</v>
      </c>
    </row>
    <row r="424" spans="1:13" ht="16" x14ac:dyDescent="0.2">
      <c r="A424" s="142" t="s">
        <v>714</v>
      </c>
      <c r="B424" s="143">
        <v>46282</v>
      </c>
      <c r="C424" s="142" t="s">
        <v>293</v>
      </c>
      <c r="D424" s="142">
        <v>2026</v>
      </c>
      <c r="E424" s="142">
        <v>36</v>
      </c>
      <c r="F424" s="144" t="s">
        <v>294</v>
      </c>
      <c r="G424" s="142" t="s">
        <v>85</v>
      </c>
      <c r="H424" s="145">
        <v>3400</v>
      </c>
      <c r="I424" s="142" t="s">
        <v>290</v>
      </c>
      <c r="J424" s="142" t="s">
        <v>290</v>
      </c>
      <c r="K424" s="142" t="s">
        <v>290</v>
      </c>
      <c r="L424" s="371">
        <f>IF(PolicyData[[#This Row],[ClaimFiled_Last5Yrs]]="Y",1,0)</f>
        <v>0</v>
      </c>
      <c r="M424" s="371">
        <f>IF(PolicyData[[#This Row],[Region]]="EAST",1,0)</f>
        <v>0</v>
      </c>
    </row>
    <row r="425" spans="1:13" ht="16" x14ac:dyDescent="0.2">
      <c r="A425" s="142" t="s">
        <v>715</v>
      </c>
      <c r="B425" s="143">
        <v>46324</v>
      </c>
      <c r="C425" s="142" t="s">
        <v>295</v>
      </c>
      <c r="D425" s="142">
        <v>2026</v>
      </c>
      <c r="E425" s="142">
        <v>85</v>
      </c>
      <c r="F425" s="144" t="s">
        <v>282</v>
      </c>
      <c r="G425" s="142" t="s">
        <v>90</v>
      </c>
      <c r="H425" s="146">
        <v>1370</v>
      </c>
      <c r="I425" s="142" t="s">
        <v>290</v>
      </c>
      <c r="J425" s="142" t="s">
        <v>291</v>
      </c>
      <c r="K425" s="142" t="s">
        <v>290</v>
      </c>
      <c r="L425" s="371">
        <f>IF(PolicyData[[#This Row],[ClaimFiled_Last5Yrs]]="Y",1,0)</f>
        <v>0</v>
      </c>
      <c r="M425" s="371">
        <f>IF(PolicyData[[#This Row],[Region]]="EAST",1,0)</f>
        <v>0</v>
      </c>
    </row>
    <row r="426" spans="1:13" ht="16" x14ac:dyDescent="0.2">
      <c r="A426" s="142" t="s">
        <v>716</v>
      </c>
      <c r="B426" s="143">
        <v>45976</v>
      </c>
      <c r="C426" s="142" t="s">
        <v>296</v>
      </c>
      <c r="D426" s="142">
        <v>2026</v>
      </c>
      <c r="E426" s="142">
        <v>60</v>
      </c>
      <c r="F426" s="144" t="s">
        <v>281</v>
      </c>
      <c r="G426" s="142" t="s">
        <v>85</v>
      </c>
      <c r="H426" s="146">
        <v>3250</v>
      </c>
      <c r="I426" s="142" t="s">
        <v>291</v>
      </c>
      <c r="J426" s="142" t="s">
        <v>291</v>
      </c>
      <c r="K426" s="142" t="s">
        <v>291</v>
      </c>
      <c r="L426" s="371">
        <f>IF(PolicyData[[#This Row],[ClaimFiled_Last5Yrs]]="Y",1,0)</f>
        <v>1</v>
      </c>
      <c r="M426" s="371">
        <f>IF(PolicyData[[#This Row],[Region]]="EAST",1,0)</f>
        <v>0</v>
      </c>
    </row>
    <row r="427" spans="1:13" ht="16" x14ac:dyDescent="0.2">
      <c r="A427" s="142" t="s">
        <v>717</v>
      </c>
      <c r="B427" s="143">
        <v>45999</v>
      </c>
      <c r="C427" s="142" t="s">
        <v>297</v>
      </c>
      <c r="D427" s="142">
        <v>2026</v>
      </c>
      <c r="E427" s="142">
        <v>91</v>
      </c>
      <c r="F427" s="144" t="s">
        <v>283</v>
      </c>
      <c r="G427" s="142" t="s">
        <v>87</v>
      </c>
      <c r="H427" s="145">
        <v>1110</v>
      </c>
      <c r="I427" s="142" t="s">
        <v>290</v>
      </c>
      <c r="J427" s="142" t="s">
        <v>291</v>
      </c>
      <c r="K427" s="142" t="s">
        <v>290</v>
      </c>
      <c r="L427" s="371">
        <f>IF(PolicyData[[#This Row],[ClaimFiled_Last5Yrs]]="Y",1,0)</f>
        <v>0</v>
      </c>
      <c r="M427" s="371">
        <f>IF(PolicyData[[#This Row],[Region]]="EAST",1,0)</f>
        <v>1</v>
      </c>
    </row>
    <row r="428" spans="1:13" ht="16" x14ac:dyDescent="0.2">
      <c r="A428" s="142" t="s">
        <v>718</v>
      </c>
      <c r="B428" s="143">
        <v>46033</v>
      </c>
      <c r="C428" s="142" t="s">
        <v>298</v>
      </c>
      <c r="D428" s="142">
        <v>2026</v>
      </c>
      <c r="E428" s="142">
        <v>47</v>
      </c>
      <c r="F428" s="144" t="s">
        <v>282</v>
      </c>
      <c r="G428" s="142" t="s">
        <v>85</v>
      </c>
      <c r="H428" s="145">
        <v>3050</v>
      </c>
      <c r="I428" s="142" t="s">
        <v>290</v>
      </c>
      <c r="J428" s="142" t="s">
        <v>290</v>
      </c>
      <c r="K428" s="142" t="s">
        <v>290</v>
      </c>
      <c r="L428" s="371">
        <f>IF(PolicyData[[#This Row],[ClaimFiled_Last5Yrs]]="Y",1,0)</f>
        <v>0</v>
      </c>
      <c r="M428" s="371">
        <f>IF(PolicyData[[#This Row],[Region]]="EAST",1,0)</f>
        <v>0</v>
      </c>
    </row>
    <row r="429" spans="1:13" ht="16" x14ac:dyDescent="0.2">
      <c r="A429" s="142" t="s">
        <v>719</v>
      </c>
      <c r="B429" s="143">
        <v>46077</v>
      </c>
      <c r="C429" s="142" t="s">
        <v>299</v>
      </c>
      <c r="D429" s="142">
        <v>2026</v>
      </c>
      <c r="E429" s="142">
        <v>86</v>
      </c>
      <c r="F429" s="144" t="s">
        <v>294</v>
      </c>
      <c r="G429" s="142" t="s">
        <v>85</v>
      </c>
      <c r="H429" s="145">
        <v>2850</v>
      </c>
      <c r="I429" s="142" t="s">
        <v>290</v>
      </c>
      <c r="J429" s="142" t="s">
        <v>291</v>
      </c>
      <c r="K429" s="142" t="s">
        <v>290</v>
      </c>
      <c r="L429" s="371">
        <f>IF(PolicyData[[#This Row],[ClaimFiled_Last5Yrs]]="Y",1,0)</f>
        <v>0</v>
      </c>
      <c r="M429" s="371">
        <f>IF(PolicyData[[#This Row],[Region]]="EAST",1,0)</f>
        <v>0</v>
      </c>
    </row>
    <row r="430" spans="1:13" ht="16" x14ac:dyDescent="0.2">
      <c r="A430" s="142" t="s">
        <v>720</v>
      </c>
      <c r="B430" s="143">
        <v>46097</v>
      </c>
      <c r="C430" s="142" t="s">
        <v>300</v>
      </c>
      <c r="D430" s="142">
        <v>2026</v>
      </c>
      <c r="E430" s="142">
        <v>56</v>
      </c>
      <c r="F430" s="144" t="s">
        <v>281</v>
      </c>
      <c r="G430" s="142" t="s">
        <v>87</v>
      </c>
      <c r="H430" s="145">
        <v>1410</v>
      </c>
      <c r="I430" s="142" t="s">
        <v>290</v>
      </c>
      <c r="J430" s="142" t="s">
        <v>291</v>
      </c>
      <c r="K430" s="142" t="s">
        <v>290</v>
      </c>
      <c r="L430" s="371">
        <f>IF(PolicyData[[#This Row],[ClaimFiled_Last5Yrs]]="Y",1,0)</f>
        <v>0</v>
      </c>
      <c r="M430" s="371">
        <f>IF(PolicyData[[#This Row],[Region]]="EAST",1,0)</f>
        <v>0</v>
      </c>
    </row>
    <row r="431" spans="1:13" ht="16" x14ac:dyDescent="0.2">
      <c r="A431" s="142" t="s">
        <v>721</v>
      </c>
      <c r="B431" s="143">
        <v>46142</v>
      </c>
      <c r="C431" s="142" t="s">
        <v>301</v>
      </c>
      <c r="D431" s="142">
        <v>2026</v>
      </c>
      <c r="E431" s="142">
        <v>41</v>
      </c>
      <c r="F431" s="144" t="s">
        <v>283</v>
      </c>
      <c r="G431" s="142" t="s">
        <v>85</v>
      </c>
      <c r="H431" s="146">
        <v>3300</v>
      </c>
      <c r="I431" s="142" t="s">
        <v>291</v>
      </c>
      <c r="J431" s="142" t="s">
        <v>291</v>
      </c>
      <c r="K431" s="142" t="s">
        <v>290</v>
      </c>
      <c r="L431" s="371">
        <f>IF(PolicyData[[#This Row],[ClaimFiled_Last5Yrs]]="Y",1,0)</f>
        <v>1</v>
      </c>
      <c r="M431" s="371">
        <f>IF(PolicyData[[#This Row],[Region]]="EAST",1,0)</f>
        <v>1</v>
      </c>
    </row>
    <row r="432" spans="1:13" ht="16" x14ac:dyDescent="0.2">
      <c r="A432" s="142" t="s">
        <v>722</v>
      </c>
      <c r="B432" s="143">
        <v>46165</v>
      </c>
      <c r="C432" s="142" t="s">
        <v>289</v>
      </c>
      <c r="D432" s="142">
        <v>2026</v>
      </c>
      <c r="E432" s="142">
        <v>93</v>
      </c>
      <c r="F432" s="144" t="s">
        <v>294</v>
      </c>
      <c r="G432" s="142" t="s">
        <v>87</v>
      </c>
      <c r="H432" s="146">
        <v>960</v>
      </c>
      <c r="I432" s="142" t="s">
        <v>290</v>
      </c>
      <c r="J432" s="142" t="s">
        <v>291</v>
      </c>
      <c r="K432" s="142" t="s">
        <v>290</v>
      </c>
      <c r="L432" s="371">
        <f>IF(PolicyData[[#This Row],[ClaimFiled_Last5Yrs]]="Y",1,0)</f>
        <v>0</v>
      </c>
      <c r="M432" s="371">
        <f>IF(PolicyData[[#This Row],[Region]]="EAST",1,0)</f>
        <v>0</v>
      </c>
    </row>
    <row r="433" spans="1:13" ht="16" x14ac:dyDescent="0.2">
      <c r="A433" s="142" t="s">
        <v>723</v>
      </c>
      <c r="B433" s="143">
        <v>46207</v>
      </c>
      <c r="C433" s="142" t="s">
        <v>292</v>
      </c>
      <c r="D433" s="142">
        <v>2026</v>
      </c>
      <c r="E433" s="142">
        <v>48</v>
      </c>
      <c r="F433" s="144" t="s">
        <v>282</v>
      </c>
      <c r="G433" s="142" t="s">
        <v>85</v>
      </c>
      <c r="H433" s="146">
        <v>2580</v>
      </c>
      <c r="I433" s="142" t="s">
        <v>290</v>
      </c>
      <c r="J433" s="142" t="s">
        <v>291</v>
      </c>
      <c r="K433" s="142" t="s">
        <v>290</v>
      </c>
      <c r="L433" s="371">
        <f>IF(PolicyData[[#This Row],[ClaimFiled_Last5Yrs]]="Y",1,0)</f>
        <v>0</v>
      </c>
      <c r="M433" s="371">
        <f>IF(PolicyData[[#This Row],[Region]]="EAST",1,0)</f>
        <v>0</v>
      </c>
    </row>
    <row r="434" spans="1:13" ht="16" x14ac:dyDescent="0.2">
      <c r="A434" s="142" t="s">
        <v>724</v>
      </c>
      <c r="B434" s="143">
        <v>46255</v>
      </c>
      <c r="C434" s="142" t="s">
        <v>293</v>
      </c>
      <c r="D434" s="142">
        <v>2026</v>
      </c>
      <c r="E434" s="142">
        <v>62</v>
      </c>
      <c r="F434" s="144" t="s">
        <v>281</v>
      </c>
      <c r="G434" s="142" t="s">
        <v>90</v>
      </c>
      <c r="H434" s="145">
        <v>2300</v>
      </c>
      <c r="I434" s="142" t="s">
        <v>291</v>
      </c>
      <c r="J434" s="142" t="s">
        <v>291</v>
      </c>
      <c r="K434" s="142" t="s">
        <v>290</v>
      </c>
      <c r="L434" s="371">
        <f>IF(PolicyData[[#This Row],[ClaimFiled_Last5Yrs]]="Y",1,0)</f>
        <v>1</v>
      </c>
      <c r="M434" s="371">
        <f>IF(PolicyData[[#This Row],[Region]]="EAST",1,0)</f>
        <v>0</v>
      </c>
    </row>
    <row r="435" spans="1:13" ht="16" x14ac:dyDescent="0.2">
      <c r="A435" s="142" t="s">
        <v>725</v>
      </c>
      <c r="B435" s="143">
        <v>46290</v>
      </c>
      <c r="C435" s="142" t="s">
        <v>295</v>
      </c>
      <c r="D435" s="142">
        <v>2026</v>
      </c>
      <c r="E435" s="142">
        <v>35</v>
      </c>
      <c r="F435" s="144" t="s">
        <v>283</v>
      </c>
      <c r="G435" s="142" t="s">
        <v>85</v>
      </c>
      <c r="H435" s="145">
        <v>3600</v>
      </c>
      <c r="I435" s="142" t="s">
        <v>290</v>
      </c>
      <c r="J435" s="142" t="s">
        <v>290</v>
      </c>
      <c r="K435" s="142" t="s">
        <v>291</v>
      </c>
      <c r="L435" s="371">
        <f>IF(PolicyData[[#This Row],[ClaimFiled_Last5Yrs]]="Y",1,0)</f>
        <v>0</v>
      </c>
      <c r="M435" s="371">
        <f>IF(PolicyData[[#This Row],[Region]]="EAST",1,0)</f>
        <v>1</v>
      </c>
    </row>
    <row r="436" spans="1:13" ht="16" x14ac:dyDescent="0.2">
      <c r="A436" s="142" t="s">
        <v>726</v>
      </c>
      <c r="B436" s="143">
        <v>45975</v>
      </c>
      <c r="C436" s="142" t="s">
        <v>296</v>
      </c>
      <c r="D436" s="142">
        <v>2026</v>
      </c>
      <c r="E436" s="142">
        <v>92</v>
      </c>
      <c r="F436" s="144" t="s">
        <v>294</v>
      </c>
      <c r="G436" s="142" t="s">
        <v>87</v>
      </c>
      <c r="H436" s="146">
        <v>1580</v>
      </c>
      <c r="I436" s="142" t="s">
        <v>290</v>
      </c>
      <c r="J436" s="142" t="s">
        <v>291</v>
      </c>
      <c r="K436" s="142" t="s">
        <v>290</v>
      </c>
      <c r="L436" s="371">
        <f>IF(PolicyData[[#This Row],[ClaimFiled_Last5Yrs]]="Y",1,0)</f>
        <v>0</v>
      </c>
      <c r="M436" s="371">
        <f>IF(PolicyData[[#This Row],[Region]]="EAST",1,0)</f>
        <v>0</v>
      </c>
    </row>
    <row r="437" spans="1:13" ht="16" x14ac:dyDescent="0.2">
      <c r="A437" s="142" t="s">
        <v>727</v>
      </c>
      <c r="B437" s="143">
        <v>46051</v>
      </c>
      <c r="C437" s="142" t="s">
        <v>297</v>
      </c>
      <c r="D437" s="142">
        <v>2026</v>
      </c>
      <c r="E437" s="142">
        <v>50</v>
      </c>
      <c r="F437" s="144" t="s">
        <v>282</v>
      </c>
      <c r="G437" s="142" t="s">
        <v>85</v>
      </c>
      <c r="H437" s="146">
        <v>3100</v>
      </c>
      <c r="I437" s="142" t="s">
        <v>290</v>
      </c>
      <c r="J437" s="142" t="s">
        <v>291</v>
      </c>
      <c r="K437" s="142" t="s">
        <v>290</v>
      </c>
      <c r="L437" s="371">
        <f>IF(PolicyData[[#This Row],[ClaimFiled_Last5Yrs]]="Y",1,0)</f>
        <v>0</v>
      </c>
      <c r="M437" s="371">
        <f>IF(PolicyData[[#This Row],[Region]]="EAST",1,0)</f>
        <v>0</v>
      </c>
    </row>
    <row r="438" spans="1:13" ht="16" x14ac:dyDescent="0.2">
      <c r="A438" s="142" t="s">
        <v>728</v>
      </c>
      <c r="B438" s="143">
        <v>46070</v>
      </c>
      <c r="C438" s="142" t="s">
        <v>298</v>
      </c>
      <c r="D438" s="142">
        <v>2026</v>
      </c>
      <c r="E438" s="142">
        <v>94</v>
      </c>
      <c r="F438" s="144" t="s">
        <v>281</v>
      </c>
      <c r="G438" s="142" t="s">
        <v>87</v>
      </c>
      <c r="H438" s="145">
        <v>1140</v>
      </c>
      <c r="I438" s="142" t="s">
        <v>290</v>
      </c>
      <c r="J438" s="142" t="s">
        <v>291</v>
      </c>
      <c r="K438" s="142" t="s">
        <v>290</v>
      </c>
      <c r="L438" s="371">
        <f>IF(PolicyData[[#This Row],[ClaimFiled_Last5Yrs]]="Y",1,0)</f>
        <v>0</v>
      </c>
      <c r="M438" s="371">
        <f>IF(PolicyData[[#This Row],[Region]]="EAST",1,0)</f>
        <v>0</v>
      </c>
    </row>
    <row r="439" spans="1:13" ht="16" x14ac:dyDescent="0.2">
      <c r="A439" s="142" t="s">
        <v>729</v>
      </c>
      <c r="B439" s="143">
        <v>46087</v>
      </c>
      <c r="C439" s="142" t="s">
        <v>299</v>
      </c>
      <c r="D439" s="142">
        <v>2026</v>
      </c>
      <c r="E439" s="142">
        <v>53</v>
      </c>
      <c r="F439" s="144" t="s">
        <v>283</v>
      </c>
      <c r="G439" s="142" t="s">
        <v>85</v>
      </c>
      <c r="H439" s="145">
        <v>2900</v>
      </c>
      <c r="I439" s="142" t="s">
        <v>291</v>
      </c>
      <c r="J439" s="142" t="s">
        <v>291</v>
      </c>
      <c r="K439" s="142" t="s">
        <v>290</v>
      </c>
      <c r="L439" s="371">
        <f>IF(PolicyData[[#This Row],[ClaimFiled_Last5Yrs]]="Y",1,0)</f>
        <v>1</v>
      </c>
      <c r="M439" s="371">
        <f>IF(PolicyData[[#This Row],[Region]]="EAST",1,0)</f>
        <v>1</v>
      </c>
    </row>
    <row r="440" spans="1:13" ht="16" x14ac:dyDescent="0.2">
      <c r="A440" s="142" t="s">
        <v>730</v>
      </c>
      <c r="B440" s="143">
        <v>46131</v>
      </c>
      <c r="C440" s="142" t="s">
        <v>300</v>
      </c>
      <c r="D440" s="142">
        <v>2026</v>
      </c>
      <c r="E440" s="142">
        <v>87</v>
      </c>
      <c r="F440" s="144" t="s">
        <v>294</v>
      </c>
      <c r="G440" s="142" t="s">
        <v>90</v>
      </c>
      <c r="H440" s="146">
        <v>2500</v>
      </c>
      <c r="I440" s="142" t="s">
        <v>290</v>
      </c>
      <c r="J440" s="142" t="s">
        <v>291</v>
      </c>
      <c r="K440" s="142" t="s">
        <v>290</v>
      </c>
      <c r="L440" s="371">
        <f>IF(PolicyData[[#This Row],[ClaimFiled_Last5Yrs]]="Y",1,0)</f>
        <v>0</v>
      </c>
      <c r="M440" s="371">
        <f>IF(PolicyData[[#This Row],[Region]]="EAST",1,0)</f>
        <v>0</v>
      </c>
    </row>
    <row r="441" spans="1:13" ht="16" x14ac:dyDescent="0.2">
      <c r="A441" s="142" t="s">
        <v>731</v>
      </c>
      <c r="B441" s="143">
        <v>46146</v>
      </c>
      <c r="C441" s="142" t="s">
        <v>301</v>
      </c>
      <c r="D441" s="142">
        <v>2026</v>
      </c>
      <c r="E441" s="142">
        <v>44</v>
      </c>
      <c r="F441" s="144" t="s">
        <v>282</v>
      </c>
      <c r="G441" s="142" t="s">
        <v>85</v>
      </c>
      <c r="H441" s="146">
        <v>3300</v>
      </c>
      <c r="I441" s="142" t="s">
        <v>291</v>
      </c>
      <c r="J441" s="142" t="s">
        <v>290</v>
      </c>
      <c r="K441" s="142" t="s">
        <v>290</v>
      </c>
      <c r="L441" s="371">
        <f>IF(PolicyData[[#This Row],[ClaimFiled_Last5Yrs]]="Y",1,0)</f>
        <v>1</v>
      </c>
      <c r="M441" s="371">
        <f>IF(PolicyData[[#This Row],[Region]]="EAST",1,0)</f>
        <v>0</v>
      </c>
    </row>
    <row r="442" spans="1:13" ht="16" x14ac:dyDescent="0.2">
      <c r="A442" s="142" t="s">
        <v>732</v>
      </c>
      <c r="B442" s="143">
        <v>46224</v>
      </c>
      <c r="C442" s="142" t="s">
        <v>289</v>
      </c>
      <c r="D442" s="142">
        <v>2026</v>
      </c>
      <c r="E442" s="142">
        <v>58</v>
      </c>
      <c r="F442" s="144" t="s">
        <v>281</v>
      </c>
      <c r="G442" s="142" t="s">
        <v>85</v>
      </c>
      <c r="H442" s="146">
        <v>2550</v>
      </c>
      <c r="I442" s="142" t="s">
        <v>290</v>
      </c>
      <c r="J442" s="142" t="s">
        <v>291</v>
      </c>
      <c r="K442" s="142" t="s">
        <v>290</v>
      </c>
      <c r="L442" s="371">
        <f>IF(PolicyData[[#This Row],[ClaimFiled_Last5Yrs]]="Y",1,0)</f>
        <v>0</v>
      </c>
      <c r="M442" s="371">
        <f>IF(PolicyData[[#This Row],[Region]]="EAST",1,0)</f>
        <v>0</v>
      </c>
    </row>
    <row r="443" spans="1:13" ht="16" x14ac:dyDescent="0.2">
      <c r="A443" s="142" t="s">
        <v>733</v>
      </c>
      <c r="B443" s="143">
        <v>46241</v>
      </c>
      <c r="C443" s="142" t="s">
        <v>292</v>
      </c>
      <c r="D443" s="142">
        <v>2026</v>
      </c>
      <c r="E443" s="142">
        <v>68</v>
      </c>
      <c r="F443" s="144" t="s">
        <v>283</v>
      </c>
      <c r="G443" s="142" t="s">
        <v>87</v>
      </c>
      <c r="H443" s="145">
        <v>1250</v>
      </c>
      <c r="I443" s="142" t="s">
        <v>290</v>
      </c>
      <c r="J443" s="142" t="s">
        <v>291</v>
      </c>
      <c r="K443" s="142" t="s">
        <v>291</v>
      </c>
      <c r="L443" s="371">
        <f>IF(PolicyData[[#This Row],[ClaimFiled_Last5Yrs]]="Y",1,0)</f>
        <v>0</v>
      </c>
      <c r="M443" s="371">
        <f>IF(PolicyData[[#This Row],[Region]]="EAST",1,0)</f>
        <v>1</v>
      </c>
    </row>
    <row r="444" spans="1:13" ht="16" x14ac:dyDescent="0.2">
      <c r="A444" s="142" t="s">
        <v>734</v>
      </c>
      <c r="B444" s="143">
        <v>46282</v>
      </c>
      <c r="C444" s="142" t="s">
        <v>293</v>
      </c>
      <c r="D444" s="142">
        <v>2026</v>
      </c>
      <c r="E444" s="142">
        <v>37</v>
      </c>
      <c r="F444" s="144" t="s">
        <v>294</v>
      </c>
      <c r="G444" s="142" t="s">
        <v>85</v>
      </c>
      <c r="H444" s="146">
        <v>3450</v>
      </c>
      <c r="I444" s="142" t="s">
        <v>291</v>
      </c>
      <c r="J444" s="142" t="s">
        <v>290</v>
      </c>
      <c r="K444" s="142" t="s">
        <v>290</v>
      </c>
      <c r="L444" s="371">
        <f>IF(PolicyData[[#This Row],[ClaimFiled_Last5Yrs]]="Y",1,0)</f>
        <v>1</v>
      </c>
      <c r="M444" s="371">
        <f>IF(PolicyData[[#This Row],[Region]]="EAST",1,0)</f>
        <v>0</v>
      </c>
    </row>
    <row r="445" spans="1:13" ht="16" x14ac:dyDescent="0.2">
      <c r="A445" s="142" t="s">
        <v>735</v>
      </c>
      <c r="B445" s="143">
        <v>46324</v>
      </c>
      <c r="C445" s="142" t="s">
        <v>295</v>
      </c>
      <c r="D445" s="142">
        <v>2026</v>
      </c>
      <c r="E445" s="142">
        <v>88</v>
      </c>
      <c r="F445" s="144" t="s">
        <v>282</v>
      </c>
      <c r="G445" s="142" t="s">
        <v>90</v>
      </c>
      <c r="H445" s="145">
        <v>1400</v>
      </c>
      <c r="I445" s="142" t="s">
        <v>290</v>
      </c>
      <c r="J445" s="142" t="s">
        <v>291</v>
      </c>
      <c r="K445" s="142" t="s">
        <v>290</v>
      </c>
      <c r="L445" s="371">
        <f>IF(PolicyData[[#This Row],[ClaimFiled_Last5Yrs]]="Y",1,0)</f>
        <v>0</v>
      </c>
      <c r="M445" s="371">
        <f>IF(PolicyData[[#This Row],[Region]]="EAST",1,0)</f>
        <v>0</v>
      </c>
    </row>
    <row r="446" spans="1:13" ht="16" x14ac:dyDescent="0.2">
      <c r="A446" s="142" t="s">
        <v>736</v>
      </c>
      <c r="B446" s="143">
        <v>45976</v>
      </c>
      <c r="C446" s="142" t="s">
        <v>296</v>
      </c>
      <c r="D446" s="142">
        <v>2026</v>
      </c>
      <c r="E446" s="142">
        <v>61</v>
      </c>
      <c r="F446" s="144" t="s">
        <v>281</v>
      </c>
      <c r="G446" s="142" t="s">
        <v>85</v>
      </c>
      <c r="H446" s="145">
        <v>3350</v>
      </c>
      <c r="I446" s="142" t="s">
        <v>290</v>
      </c>
      <c r="J446" s="142" t="s">
        <v>291</v>
      </c>
      <c r="K446" s="142" t="s">
        <v>290</v>
      </c>
      <c r="L446" s="371">
        <f>IF(PolicyData[[#This Row],[ClaimFiled_Last5Yrs]]="Y",1,0)</f>
        <v>0</v>
      </c>
      <c r="M446" s="371">
        <f>IF(PolicyData[[#This Row],[Region]]="EAST",1,0)</f>
        <v>0</v>
      </c>
    </row>
    <row r="447" spans="1:13" ht="16" x14ac:dyDescent="0.2">
      <c r="A447" s="142" t="s">
        <v>737</v>
      </c>
      <c r="B447" s="143">
        <v>45999</v>
      </c>
      <c r="C447" s="142" t="s">
        <v>297</v>
      </c>
      <c r="D447" s="142">
        <v>2026</v>
      </c>
      <c r="E447" s="142">
        <v>94</v>
      </c>
      <c r="F447" s="144" t="s">
        <v>283</v>
      </c>
      <c r="G447" s="142" t="s">
        <v>87</v>
      </c>
      <c r="H447" s="146">
        <v>1140</v>
      </c>
      <c r="I447" s="142" t="s">
        <v>290</v>
      </c>
      <c r="J447" s="142" t="s">
        <v>291</v>
      </c>
      <c r="K447" s="142" t="s">
        <v>290</v>
      </c>
      <c r="L447" s="371">
        <f>IF(PolicyData[[#This Row],[ClaimFiled_Last5Yrs]]="Y",1,0)</f>
        <v>0</v>
      </c>
      <c r="M447" s="371">
        <f>IF(PolicyData[[#This Row],[Region]]="EAST",1,0)</f>
        <v>1</v>
      </c>
    </row>
    <row r="448" spans="1:13" ht="16" x14ac:dyDescent="0.2">
      <c r="A448" s="142" t="s">
        <v>738</v>
      </c>
      <c r="B448" s="143">
        <v>46033</v>
      </c>
      <c r="C448" s="142" t="s">
        <v>298</v>
      </c>
      <c r="D448" s="142">
        <v>2026</v>
      </c>
      <c r="E448" s="142">
        <v>48</v>
      </c>
      <c r="F448" s="144" t="s">
        <v>282</v>
      </c>
      <c r="G448" s="142" t="s">
        <v>85</v>
      </c>
      <c r="H448" s="145">
        <v>3150</v>
      </c>
      <c r="I448" s="142" t="s">
        <v>291</v>
      </c>
      <c r="J448" s="142" t="s">
        <v>290</v>
      </c>
      <c r="K448" s="142" t="s">
        <v>290</v>
      </c>
      <c r="L448" s="371">
        <f>IF(PolicyData[[#This Row],[ClaimFiled_Last5Yrs]]="Y",1,0)</f>
        <v>1</v>
      </c>
      <c r="M448" s="371">
        <f>IF(PolicyData[[#This Row],[Region]]="EAST",1,0)</f>
        <v>0</v>
      </c>
    </row>
    <row r="449" spans="1:13" ht="16" x14ac:dyDescent="0.2">
      <c r="A449" s="142" t="s">
        <v>739</v>
      </c>
      <c r="B449" s="143">
        <v>46077</v>
      </c>
      <c r="C449" s="142" t="s">
        <v>299</v>
      </c>
      <c r="D449" s="142">
        <v>2026</v>
      </c>
      <c r="E449" s="142">
        <v>89</v>
      </c>
      <c r="F449" s="144" t="s">
        <v>294</v>
      </c>
      <c r="G449" s="142" t="s">
        <v>85</v>
      </c>
      <c r="H449" s="145">
        <v>2950</v>
      </c>
      <c r="I449" s="142" t="s">
        <v>290</v>
      </c>
      <c r="J449" s="142" t="s">
        <v>291</v>
      </c>
      <c r="K449" s="142" t="s">
        <v>290</v>
      </c>
      <c r="L449" s="371">
        <f>IF(PolicyData[[#This Row],[ClaimFiled_Last5Yrs]]="Y",1,0)</f>
        <v>0</v>
      </c>
      <c r="M449" s="371">
        <f>IF(PolicyData[[#This Row],[Region]]="EAST",1,0)</f>
        <v>0</v>
      </c>
    </row>
    <row r="450" spans="1:13" ht="16" x14ac:dyDescent="0.2">
      <c r="A450" s="142" t="s">
        <v>740</v>
      </c>
      <c r="B450" s="143">
        <v>46097</v>
      </c>
      <c r="C450" s="142" t="s">
        <v>300</v>
      </c>
      <c r="D450" s="142">
        <v>2026</v>
      </c>
      <c r="E450" s="142">
        <v>57</v>
      </c>
      <c r="F450" s="144" t="s">
        <v>281</v>
      </c>
      <c r="G450" s="142" t="s">
        <v>87</v>
      </c>
      <c r="H450" s="145">
        <v>1440</v>
      </c>
      <c r="I450" s="142" t="s">
        <v>290</v>
      </c>
      <c r="J450" s="142" t="s">
        <v>291</v>
      </c>
      <c r="K450" s="142" t="s">
        <v>290</v>
      </c>
      <c r="L450" s="371">
        <f>IF(PolicyData[[#This Row],[ClaimFiled_Last5Yrs]]="Y",1,0)</f>
        <v>0</v>
      </c>
      <c r="M450" s="371">
        <f>IF(PolicyData[[#This Row],[Region]]="EAST",1,0)</f>
        <v>0</v>
      </c>
    </row>
    <row r="451" spans="1:13" ht="16" x14ac:dyDescent="0.2">
      <c r="A451" s="142" t="s">
        <v>741</v>
      </c>
      <c r="B451" s="143">
        <v>46142</v>
      </c>
      <c r="C451" s="142" t="s">
        <v>301</v>
      </c>
      <c r="D451" s="142">
        <v>2026</v>
      </c>
      <c r="E451" s="142">
        <v>42</v>
      </c>
      <c r="F451" s="144" t="s">
        <v>283</v>
      </c>
      <c r="G451" s="142" t="s">
        <v>85</v>
      </c>
      <c r="H451" s="146">
        <v>3350</v>
      </c>
      <c r="I451" s="142" t="s">
        <v>291</v>
      </c>
      <c r="J451" s="142" t="s">
        <v>291</v>
      </c>
      <c r="K451" s="142" t="s">
        <v>291</v>
      </c>
      <c r="L451" s="371">
        <f>IF(PolicyData[[#This Row],[ClaimFiled_Last5Yrs]]="Y",1,0)</f>
        <v>1</v>
      </c>
      <c r="M451" s="371">
        <f>IF(PolicyData[[#This Row],[Region]]="EAST",1,0)</f>
        <v>1</v>
      </c>
    </row>
    <row r="452" spans="1:13" ht="16" x14ac:dyDescent="0.2">
      <c r="A452" s="142" t="s">
        <v>742</v>
      </c>
      <c r="B452" s="143">
        <v>46165</v>
      </c>
      <c r="C452" s="142" t="s">
        <v>289</v>
      </c>
      <c r="D452" s="142">
        <v>2026</v>
      </c>
      <c r="E452" s="142">
        <v>95</v>
      </c>
      <c r="F452" s="144" t="s">
        <v>294</v>
      </c>
      <c r="G452" s="142" t="s">
        <v>87</v>
      </c>
      <c r="H452" s="145">
        <v>990</v>
      </c>
      <c r="I452" s="142" t="s">
        <v>290</v>
      </c>
      <c r="J452" s="142" t="s">
        <v>291</v>
      </c>
      <c r="K452" s="142" t="s">
        <v>290</v>
      </c>
      <c r="L452" s="371">
        <f>IF(PolicyData[[#This Row],[ClaimFiled_Last5Yrs]]="Y",1,0)</f>
        <v>0</v>
      </c>
      <c r="M452" s="371">
        <f>IF(PolicyData[[#This Row],[Region]]="EAST",1,0)</f>
        <v>0</v>
      </c>
    </row>
    <row r="453" spans="1:13" ht="16" x14ac:dyDescent="0.2">
      <c r="A453" s="142" t="s">
        <v>743</v>
      </c>
      <c r="B453" s="143">
        <v>46207</v>
      </c>
      <c r="C453" s="142" t="s">
        <v>292</v>
      </c>
      <c r="D453" s="142">
        <v>2026</v>
      </c>
      <c r="E453" s="142">
        <v>49</v>
      </c>
      <c r="F453" s="144" t="s">
        <v>282</v>
      </c>
      <c r="G453" s="142" t="s">
        <v>85</v>
      </c>
      <c r="H453" s="146">
        <v>2630</v>
      </c>
      <c r="I453" s="142" t="s">
        <v>290</v>
      </c>
      <c r="J453" s="142" t="s">
        <v>291</v>
      </c>
      <c r="K453" s="142" t="s">
        <v>290</v>
      </c>
      <c r="L453" s="371">
        <f>IF(PolicyData[[#This Row],[ClaimFiled_Last5Yrs]]="Y",1,0)</f>
        <v>0</v>
      </c>
      <c r="M453" s="371">
        <f>IF(PolicyData[[#This Row],[Region]]="EAST",1,0)</f>
        <v>0</v>
      </c>
    </row>
    <row r="454" spans="1:13" ht="16" x14ac:dyDescent="0.2">
      <c r="A454" s="142" t="s">
        <v>744</v>
      </c>
      <c r="B454" s="143">
        <v>46255</v>
      </c>
      <c r="C454" s="142" t="s">
        <v>293</v>
      </c>
      <c r="D454" s="142">
        <v>2026</v>
      </c>
      <c r="E454" s="142">
        <v>63</v>
      </c>
      <c r="F454" s="144" t="s">
        <v>281</v>
      </c>
      <c r="G454" s="142" t="s">
        <v>90</v>
      </c>
      <c r="H454" s="146">
        <v>2400</v>
      </c>
      <c r="I454" s="142" t="s">
        <v>291</v>
      </c>
      <c r="J454" s="142" t="s">
        <v>291</v>
      </c>
      <c r="K454" s="142" t="s">
        <v>290</v>
      </c>
      <c r="L454" s="371">
        <f>IF(PolicyData[[#This Row],[ClaimFiled_Last5Yrs]]="Y",1,0)</f>
        <v>1</v>
      </c>
      <c r="M454" s="371">
        <f>IF(PolicyData[[#This Row],[Region]]="EAST",1,0)</f>
        <v>0</v>
      </c>
    </row>
    <row r="455" spans="1:13" ht="16" x14ac:dyDescent="0.2">
      <c r="A455" s="142" t="s">
        <v>745</v>
      </c>
      <c r="B455" s="143">
        <v>46290</v>
      </c>
      <c r="C455" s="142" t="s">
        <v>295</v>
      </c>
      <c r="D455" s="142">
        <v>2026</v>
      </c>
      <c r="E455" s="142">
        <v>36</v>
      </c>
      <c r="F455" s="144" t="s">
        <v>283</v>
      </c>
      <c r="G455" s="142" t="s">
        <v>85</v>
      </c>
      <c r="H455" s="146">
        <v>3650</v>
      </c>
      <c r="I455" s="142" t="s">
        <v>290</v>
      </c>
      <c r="J455" s="142" t="s">
        <v>290</v>
      </c>
      <c r="K455" s="142" t="s">
        <v>291</v>
      </c>
      <c r="L455" s="371">
        <f>IF(PolicyData[[#This Row],[ClaimFiled_Last5Yrs]]="Y",1,0)</f>
        <v>0</v>
      </c>
      <c r="M455" s="371">
        <f>IF(PolicyData[[#This Row],[Region]]="EAST",1,0)</f>
        <v>1</v>
      </c>
    </row>
    <row r="456" spans="1:13" ht="16" x14ac:dyDescent="0.2">
      <c r="A456" s="142" t="s">
        <v>746</v>
      </c>
      <c r="B456" s="143">
        <v>45975</v>
      </c>
      <c r="C456" s="142" t="s">
        <v>296</v>
      </c>
      <c r="D456" s="142">
        <v>2026</v>
      </c>
      <c r="E456" s="142">
        <v>96</v>
      </c>
      <c r="F456" s="144" t="s">
        <v>294</v>
      </c>
      <c r="G456" s="142" t="s">
        <v>87</v>
      </c>
      <c r="H456" s="146">
        <v>1610</v>
      </c>
      <c r="I456" s="142" t="s">
        <v>290</v>
      </c>
      <c r="J456" s="142" t="s">
        <v>291</v>
      </c>
      <c r="K456" s="142" t="s">
        <v>290</v>
      </c>
      <c r="L456" s="371">
        <f>IF(PolicyData[[#This Row],[ClaimFiled_Last5Yrs]]="Y",1,0)</f>
        <v>0</v>
      </c>
      <c r="M456" s="371">
        <f>IF(PolicyData[[#This Row],[Region]]="EAST",1,0)</f>
        <v>0</v>
      </c>
    </row>
    <row r="457" spans="1:13" ht="16" x14ac:dyDescent="0.2">
      <c r="A457" s="142" t="s">
        <v>747</v>
      </c>
      <c r="B457" s="143">
        <v>46051</v>
      </c>
      <c r="C457" s="142" t="s">
        <v>297</v>
      </c>
      <c r="D457" s="142">
        <v>2026</v>
      </c>
      <c r="E457" s="142">
        <v>51</v>
      </c>
      <c r="F457" s="144" t="s">
        <v>282</v>
      </c>
      <c r="G457" s="142" t="s">
        <v>85</v>
      </c>
      <c r="H457" s="145">
        <v>3200</v>
      </c>
      <c r="I457" s="142" t="s">
        <v>290</v>
      </c>
      <c r="J457" s="142" t="s">
        <v>291</v>
      </c>
      <c r="K457" s="142" t="s">
        <v>290</v>
      </c>
      <c r="L457" s="371">
        <f>IF(PolicyData[[#This Row],[ClaimFiled_Last5Yrs]]="Y",1,0)</f>
        <v>0</v>
      </c>
      <c r="M457" s="371">
        <f>IF(PolicyData[[#This Row],[Region]]="EAST",1,0)</f>
        <v>0</v>
      </c>
    </row>
    <row r="458" spans="1:13" ht="16" x14ac:dyDescent="0.2">
      <c r="A458" s="142" t="s">
        <v>748</v>
      </c>
      <c r="B458" s="143">
        <v>46070</v>
      </c>
      <c r="C458" s="142" t="s">
        <v>298</v>
      </c>
      <c r="D458" s="142">
        <v>2026</v>
      </c>
      <c r="E458" s="142">
        <v>97</v>
      </c>
      <c r="F458" s="144" t="s">
        <v>281</v>
      </c>
      <c r="G458" s="142" t="s">
        <v>87</v>
      </c>
      <c r="H458" s="146">
        <v>1170</v>
      </c>
      <c r="I458" s="142" t="s">
        <v>290</v>
      </c>
      <c r="J458" s="142" t="s">
        <v>291</v>
      </c>
      <c r="K458" s="142" t="s">
        <v>290</v>
      </c>
      <c r="L458" s="371">
        <f>IF(PolicyData[[#This Row],[ClaimFiled_Last5Yrs]]="Y",1,0)</f>
        <v>0</v>
      </c>
      <c r="M458" s="371">
        <f>IF(PolicyData[[#This Row],[Region]]="EAST",1,0)</f>
        <v>0</v>
      </c>
    </row>
    <row r="459" spans="1:13" ht="16" x14ac:dyDescent="0.2">
      <c r="A459" s="142" t="s">
        <v>749</v>
      </c>
      <c r="B459" s="143">
        <v>46087</v>
      </c>
      <c r="C459" s="142" t="s">
        <v>299</v>
      </c>
      <c r="D459" s="142">
        <v>2026</v>
      </c>
      <c r="E459" s="142">
        <v>54</v>
      </c>
      <c r="F459" s="144" t="s">
        <v>283</v>
      </c>
      <c r="G459" s="142" t="s">
        <v>85</v>
      </c>
      <c r="H459" s="146">
        <v>3000</v>
      </c>
      <c r="I459" s="142" t="s">
        <v>291</v>
      </c>
      <c r="J459" s="142" t="s">
        <v>291</v>
      </c>
      <c r="K459" s="142" t="s">
        <v>290</v>
      </c>
      <c r="L459" s="371">
        <f>IF(PolicyData[[#This Row],[ClaimFiled_Last5Yrs]]="Y",1,0)</f>
        <v>1</v>
      </c>
      <c r="M459" s="371">
        <f>IF(PolicyData[[#This Row],[Region]]="EAST",1,0)</f>
        <v>1</v>
      </c>
    </row>
    <row r="460" spans="1:13" ht="16" x14ac:dyDescent="0.2">
      <c r="A460" s="142" t="s">
        <v>750</v>
      </c>
      <c r="B460" s="143">
        <v>46131</v>
      </c>
      <c r="C460" s="142" t="s">
        <v>300</v>
      </c>
      <c r="D460" s="142">
        <v>2026</v>
      </c>
      <c r="E460" s="142">
        <v>90</v>
      </c>
      <c r="F460" s="144" t="s">
        <v>294</v>
      </c>
      <c r="G460" s="142" t="s">
        <v>90</v>
      </c>
      <c r="H460" s="145">
        <v>2600</v>
      </c>
      <c r="I460" s="142" t="s">
        <v>290</v>
      </c>
      <c r="J460" s="142" t="s">
        <v>291</v>
      </c>
      <c r="K460" s="142" t="s">
        <v>290</v>
      </c>
      <c r="L460" s="371">
        <f>IF(PolicyData[[#This Row],[ClaimFiled_Last5Yrs]]="Y",1,0)</f>
        <v>0</v>
      </c>
      <c r="M460" s="371">
        <f>IF(PolicyData[[#This Row],[Region]]="EAST",1,0)</f>
        <v>0</v>
      </c>
    </row>
    <row r="461" spans="1:13" ht="16" x14ac:dyDescent="0.2">
      <c r="A461" s="142" t="s">
        <v>751</v>
      </c>
      <c r="B461" s="143">
        <v>46146</v>
      </c>
      <c r="C461" s="142" t="s">
        <v>301</v>
      </c>
      <c r="D461" s="142">
        <v>2026</v>
      </c>
      <c r="E461" s="142">
        <v>45</v>
      </c>
      <c r="F461" s="144" t="s">
        <v>282</v>
      </c>
      <c r="G461" s="142" t="s">
        <v>85</v>
      </c>
      <c r="H461" s="146">
        <v>3400</v>
      </c>
      <c r="I461" s="142" t="s">
        <v>291</v>
      </c>
      <c r="J461" s="142" t="s">
        <v>290</v>
      </c>
      <c r="K461" s="142" t="s">
        <v>290</v>
      </c>
      <c r="L461" s="371">
        <f>IF(PolicyData[[#This Row],[ClaimFiled_Last5Yrs]]="Y",1,0)</f>
        <v>1</v>
      </c>
      <c r="M461" s="371">
        <f>IF(PolicyData[[#This Row],[Region]]="EAST",1,0)</f>
        <v>0</v>
      </c>
    </row>
    <row r="462" spans="1:13" ht="16" x14ac:dyDescent="0.2">
      <c r="A462" s="142" t="s">
        <v>752</v>
      </c>
      <c r="B462" s="143">
        <v>46224</v>
      </c>
      <c r="C462" s="142" t="s">
        <v>289</v>
      </c>
      <c r="D462" s="142">
        <v>2026</v>
      </c>
      <c r="E462" s="142">
        <v>59</v>
      </c>
      <c r="F462" s="144" t="s">
        <v>281</v>
      </c>
      <c r="G462" s="142" t="s">
        <v>85</v>
      </c>
      <c r="H462" s="146">
        <v>2600</v>
      </c>
      <c r="I462" s="142" t="s">
        <v>290</v>
      </c>
      <c r="J462" s="142" t="s">
        <v>291</v>
      </c>
      <c r="K462" s="142" t="s">
        <v>290</v>
      </c>
      <c r="L462" s="371">
        <f>IF(PolicyData[[#This Row],[ClaimFiled_Last5Yrs]]="Y",1,0)</f>
        <v>0</v>
      </c>
      <c r="M462" s="371">
        <f>IF(PolicyData[[#This Row],[Region]]="EAST",1,0)</f>
        <v>0</v>
      </c>
    </row>
    <row r="463" spans="1:13" ht="16" x14ac:dyDescent="0.2">
      <c r="A463" s="142" t="s">
        <v>753</v>
      </c>
      <c r="B463" s="143">
        <v>46241</v>
      </c>
      <c r="C463" s="142" t="s">
        <v>292</v>
      </c>
      <c r="D463" s="142">
        <v>2026</v>
      </c>
      <c r="E463" s="142">
        <v>69</v>
      </c>
      <c r="F463" s="144" t="s">
        <v>283</v>
      </c>
      <c r="G463" s="142" t="s">
        <v>87</v>
      </c>
      <c r="H463" s="145">
        <v>1280</v>
      </c>
      <c r="I463" s="142" t="s">
        <v>291</v>
      </c>
      <c r="J463" s="142" t="s">
        <v>291</v>
      </c>
      <c r="K463" s="142" t="s">
        <v>290</v>
      </c>
      <c r="L463" s="371">
        <f>IF(PolicyData[[#This Row],[ClaimFiled_Last5Yrs]]="Y",1,0)</f>
        <v>1</v>
      </c>
      <c r="M463" s="371">
        <f>IF(PolicyData[[#This Row],[Region]]="EAST",1,0)</f>
        <v>1</v>
      </c>
    </row>
    <row r="464" spans="1:13" ht="16" x14ac:dyDescent="0.2">
      <c r="A464" s="142" t="s">
        <v>754</v>
      </c>
      <c r="B464" s="143">
        <v>46282</v>
      </c>
      <c r="C464" s="142" t="s">
        <v>293</v>
      </c>
      <c r="D464" s="142">
        <v>2026</v>
      </c>
      <c r="E464" s="142">
        <v>38</v>
      </c>
      <c r="F464" s="144" t="s">
        <v>294</v>
      </c>
      <c r="G464" s="142" t="s">
        <v>85</v>
      </c>
      <c r="H464" s="146">
        <v>3500</v>
      </c>
      <c r="I464" s="142" t="s">
        <v>290</v>
      </c>
      <c r="J464" s="142" t="s">
        <v>290</v>
      </c>
      <c r="K464" s="142" t="s">
        <v>291</v>
      </c>
      <c r="L464" s="371">
        <f>IF(PolicyData[[#This Row],[ClaimFiled_Last5Yrs]]="Y",1,0)</f>
        <v>0</v>
      </c>
      <c r="M464" s="371">
        <f>IF(PolicyData[[#This Row],[Region]]="EAST",1,0)</f>
        <v>0</v>
      </c>
    </row>
    <row r="465" spans="1:13" ht="16" x14ac:dyDescent="0.2">
      <c r="A465" s="142" t="s">
        <v>755</v>
      </c>
      <c r="B465" s="143">
        <v>46324</v>
      </c>
      <c r="C465" s="142" t="s">
        <v>295</v>
      </c>
      <c r="D465" s="142">
        <v>2026</v>
      </c>
      <c r="E465" s="142">
        <v>91</v>
      </c>
      <c r="F465" s="144" t="s">
        <v>282</v>
      </c>
      <c r="G465" s="142" t="s">
        <v>90</v>
      </c>
      <c r="H465" s="146">
        <v>1430</v>
      </c>
      <c r="I465" s="142" t="s">
        <v>290</v>
      </c>
      <c r="J465" s="142" t="s">
        <v>291</v>
      </c>
      <c r="K465" s="142" t="s">
        <v>290</v>
      </c>
      <c r="L465" s="371">
        <f>IF(PolicyData[[#This Row],[ClaimFiled_Last5Yrs]]="Y",1,0)</f>
        <v>0</v>
      </c>
      <c r="M465" s="371">
        <f>IF(PolicyData[[#This Row],[Region]]="EAST",1,0)</f>
        <v>0</v>
      </c>
    </row>
    <row r="466" spans="1:13" ht="16" x14ac:dyDescent="0.2">
      <c r="A466" s="142" t="s">
        <v>756</v>
      </c>
      <c r="B466" s="143">
        <v>45976</v>
      </c>
      <c r="C466" s="142" t="s">
        <v>296</v>
      </c>
      <c r="D466" s="142">
        <v>2026</v>
      </c>
      <c r="E466" s="142">
        <v>62</v>
      </c>
      <c r="F466" s="144" t="s">
        <v>281</v>
      </c>
      <c r="G466" s="142" t="s">
        <v>85</v>
      </c>
      <c r="H466" s="145">
        <v>3450</v>
      </c>
      <c r="I466" s="142" t="s">
        <v>291</v>
      </c>
      <c r="J466" s="142" t="s">
        <v>291</v>
      </c>
      <c r="K466" s="142" t="s">
        <v>290</v>
      </c>
      <c r="L466" s="371">
        <f>IF(PolicyData[[#This Row],[ClaimFiled_Last5Yrs]]="Y",1,0)</f>
        <v>1</v>
      </c>
      <c r="M466" s="371">
        <f>IF(PolicyData[[#This Row],[Region]]="EAST",1,0)</f>
        <v>0</v>
      </c>
    </row>
    <row r="467" spans="1:13" ht="16" x14ac:dyDescent="0.2">
      <c r="A467" s="142" t="s">
        <v>757</v>
      </c>
      <c r="B467" s="143">
        <v>45999</v>
      </c>
      <c r="C467" s="142" t="s">
        <v>297</v>
      </c>
      <c r="D467" s="142">
        <v>2026</v>
      </c>
      <c r="E467" s="142">
        <v>97</v>
      </c>
      <c r="F467" s="144" t="s">
        <v>283</v>
      </c>
      <c r="G467" s="142" t="s">
        <v>87</v>
      </c>
      <c r="H467" s="145">
        <v>1170</v>
      </c>
      <c r="I467" s="142" t="s">
        <v>290</v>
      </c>
      <c r="J467" s="142" t="s">
        <v>291</v>
      </c>
      <c r="K467" s="142" t="s">
        <v>290</v>
      </c>
      <c r="L467" s="371">
        <f>IF(PolicyData[[#This Row],[ClaimFiled_Last5Yrs]]="Y",1,0)</f>
        <v>0</v>
      </c>
      <c r="M467" s="371">
        <f>IF(PolicyData[[#This Row],[Region]]="EAST",1,0)</f>
        <v>1</v>
      </c>
    </row>
    <row r="468" spans="1:13" ht="16" x14ac:dyDescent="0.2">
      <c r="A468" s="142" t="s">
        <v>758</v>
      </c>
      <c r="B468" s="143">
        <v>46033</v>
      </c>
      <c r="C468" s="142" t="s">
        <v>298</v>
      </c>
      <c r="D468" s="142">
        <v>2026</v>
      </c>
      <c r="E468" s="142">
        <v>50</v>
      </c>
      <c r="F468" s="144" t="s">
        <v>282</v>
      </c>
      <c r="G468" s="142" t="s">
        <v>85</v>
      </c>
      <c r="H468" s="146">
        <v>3250</v>
      </c>
      <c r="I468" s="142" t="s">
        <v>290</v>
      </c>
      <c r="J468" s="142" t="s">
        <v>290</v>
      </c>
      <c r="K468" s="142" t="s">
        <v>290</v>
      </c>
      <c r="L468" s="371">
        <f>IF(PolicyData[[#This Row],[ClaimFiled_Last5Yrs]]="Y",1,0)</f>
        <v>0</v>
      </c>
      <c r="M468" s="371">
        <f>IF(PolicyData[[#This Row],[Region]]="EAST",1,0)</f>
        <v>0</v>
      </c>
    </row>
    <row r="469" spans="1:13" ht="16" x14ac:dyDescent="0.2">
      <c r="A469" s="142" t="s">
        <v>759</v>
      </c>
      <c r="B469" s="143">
        <v>46077</v>
      </c>
      <c r="C469" s="142" t="s">
        <v>299</v>
      </c>
      <c r="D469" s="142">
        <v>2026</v>
      </c>
      <c r="E469" s="142">
        <v>92</v>
      </c>
      <c r="F469" s="144" t="s">
        <v>294</v>
      </c>
      <c r="G469" s="142" t="s">
        <v>85</v>
      </c>
      <c r="H469" s="145">
        <v>3050</v>
      </c>
      <c r="I469" s="142" t="s">
        <v>290</v>
      </c>
      <c r="J469" s="142" t="s">
        <v>291</v>
      </c>
      <c r="K469" s="142" t="s">
        <v>290</v>
      </c>
      <c r="L469" s="371">
        <f>IF(PolicyData[[#This Row],[ClaimFiled_Last5Yrs]]="Y",1,0)</f>
        <v>0</v>
      </c>
      <c r="M469" s="371">
        <f>IF(PolicyData[[#This Row],[Region]]="EAST",1,0)</f>
        <v>0</v>
      </c>
    </row>
    <row r="470" spans="1:13" ht="16" x14ac:dyDescent="0.2">
      <c r="A470" s="142" t="s">
        <v>760</v>
      </c>
      <c r="B470" s="143">
        <v>46097</v>
      </c>
      <c r="C470" s="142" t="s">
        <v>300</v>
      </c>
      <c r="D470" s="142">
        <v>2026</v>
      </c>
      <c r="E470" s="142">
        <v>58</v>
      </c>
      <c r="F470" s="144" t="s">
        <v>281</v>
      </c>
      <c r="G470" s="142" t="s">
        <v>87</v>
      </c>
      <c r="H470" s="145">
        <v>1470</v>
      </c>
      <c r="I470" s="142" t="s">
        <v>291</v>
      </c>
      <c r="J470" s="142" t="s">
        <v>291</v>
      </c>
      <c r="K470" s="142" t="s">
        <v>291</v>
      </c>
      <c r="L470" s="371">
        <f>IF(PolicyData[[#This Row],[ClaimFiled_Last5Yrs]]="Y",1,0)</f>
        <v>1</v>
      </c>
      <c r="M470" s="371">
        <f>IF(PolicyData[[#This Row],[Region]]="EAST",1,0)</f>
        <v>0</v>
      </c>
    </row>
    <row r="471" spans="1:13" ht="16" x14ac:dyDescent="0.2">
      <c r="A471" s="142" t="s">
        <v>761</v>
      </c>
      <c r="B471" s="143">
        <v>46142</v>
      </c>
      <c r="C471" s="142" t="s">
        <v>301</v>
      </c>
      <c r="D471" s="142">
        <v>2026</v>
      </c>
      <c r="E471" s="142">
        <v>43</v>
      </c>
      <c r="F471" s="144" t="s">
        <v>283</v>
      </c>
      <c r="G471" s="142" t="s">
        <v>85</v>
      </c>
      <c r="H471" s="145">
        <v>3450</v>
      </c>
      <c r="I471" s="142" t="s">
        <v>290</v>
      </c>
      <c r="J471" s="142" t="s">
        <v>291</v>
      </c>
      <c r="K471" s="142" t="s">
        <v>290</v>
      </c>
      <c r="L471" s="371">
        <f>IF(PolicyData[[#This Row],[ClaimFiled_Last5Yrs]]="Y",1,0)</f>
        <v>0</v>
      </c>
      <c r="M471" s="371">
        <f>IF(PolicyData[[#This Row],[Region]]="EAST",1,0)</f>
        <v>1</v>
      </c>
    </row>
    <row r="472" spans="1:13" ht="16" x14ac:dyDescent="0.2">
      <c r="A472" s="142" t="s">
        <v>762</v>
      </c>
      <c r="B472" s="143">
        <v>46165</v>
      </c>
      <c r="C472" s="142" t="s">
        <v>289</v>
      </c>
      <c r="D472" s="142">
        <v>2026</v>
      </c>
      <c r="E472" s="142">
        <v>98</v>
      </c>
      <c r="F472" s="144" t="s">
        <v>294</v>
      </c>
      <c r="G472" s="142" t="s">
        <v>87</v>
      </c>
      <c r="H472" s="145">
        <v>1020</v>
      </c>
      <c r="I472" s="142" t="s">
        <v>290</v>
      </c>
      <c r="J472" s="142" t="s">
        <v>291</v>
      </c>
      <c r="K472" s="142" t="s">
        <v>290</v>
      </c>
      <c r="L472" s="371">
        <f>IF(PolicyData[[#This Row],[ClaimFiled_Last5Yrs]]="Y",1,0)</f>
        <v>0</v>
      </c>
      <c r="M472" s="371">
        <f>IF(PolicyData[[#This Row],[Region]]="EAST",1,0)</f>
        <v>0</v>
      </c>
    </row>
    <row r="473" spans="1:13" ht="16" x14ac:dyDescent="0.2">
      <c r="A473" s="142" t="s">
        <v>763</v>
      </c>
      <c r="B473" s="143">
        <v>46207</v>
      </c>
      <c r="C473" s="142" t="s">
        <v>292</v>
      </c>
      <c r="D473" s="142">
        <v>2026</v>
      </c>
      <c r="E473" s="142">
        <v>51</v>
      </c>
      <c r="F473" s="144" t="s">
        <v>282</v>
      </c>
      <c r="G473" s="142" t="s">
        <v>85</v>
      </c>
      <c r="H473" s="145">
        <v>2680</v>
      </c>
      <c r="I473" s="142" t="s">
        <v>290</v>
      </c>
      <c r="J473" s="142" t="s">
        <v>291</v>
      </c>
      <c r="K473" s="142" t="s">
        <v>290</v>
      </c>
      <c r="L473" s="371">
        <f>IF(PolicyData[[#This Row],[ClaimFiled_Last5Yrs]]="Y",1,0)</f>
        <v>0</v>
      </c>
      <c r="M473" s="371">
        <f>IF(PolicyData[[#This Row],[Region]]="EAST",1,0)</f>
        <v>0</v>
      </c>
    </row>
    <row r="474" spans="1:13" ht="16" x14ac:dyDescent="0.2">
      <c r="A474" s="142" t="s">
        <v>764</v>
      </c>
      <c r="B474" s="143">
        <v>46255</v>
      </c>
      <c r="C474" s="142" t="s">
        <v>293</v>
      </c>
      <c r="D474" s="142">
        <v>2026</v>
      </c>
      <c r="E474" s="142">
        <v>64</v>
      </c>
      <c r="F474" s="144" t="s">
        <v>281</v>
      </c>
      <c r="G474" s="142" t="s">
        <v>90</v>
      </c>
      <c r="H474" s="145">
        <v>2500</v>
      </c>
      <c r="I474" s="142" t="s">
        <v>291</v>
      </c>
      <c r="J474" s="142" t="s">
        <v>291</v>
      </c>
      <c r="K474" s="142" t="s">
        <v>290</v>
      </c>
      <c r="L474" s="371">
        <f>IF(PolicyData[[#This Row],[ClaimFiled_Last5Yrs]]="Y",1,0)</f>
        <v>1</v>
      </c>
      <c r="M474" s="371">
        <f>IF(PolicyData[[#This Row],[Region]]="EAST",1,0)</f>
        <v>0</v>
      </c>
    </row>
    <row r="475" spans="1:13" ht="16" x14ac:dyDescent="0.2">
      <c r="A475" s="142" t="s">
        <v>765</v>
      </c>
      <c r="B475" s="143">
        <v>46290</v>
      </c>
      <c r="C475" s="142" t="s">
        <v>295</v>
      </c>
      <c r="D475" s="142">
        <v>2026</v>
      </c>
      <c r="E475" s="142">
        <v>37</v>
      </c>
      <c r="F475" s="144" t="s">
        <v>283</v>
      </c>
      <c r="G475" s="142" t="s">
        <v>85</v>
      </c>
      <c r="H475" s="146">
        <v>3700</v>
      </c>
      <c r="I475" s="142" t="s">
        <v>290</v>
      </c>
      <c r="J475" s="142" t="s">
        <v>290</v>
      </c>
      <c r="K475" s="142" t="s">
        <v>291</v>
      </c>
      <c r="L475" s="371">
        <f>IF(PolicyData[[#This Row],[ClaimFiled_Last5Yrs]]="Y",1,0)</f>
        <v>0</v>
      </c>
      <c r="M475" s="371">
        <f>IF(PolicyData[[#This Row],[Region]]="EAST",1,0)</f>
        <v>1</v>
      </c>
    </row>
    <row r="476" spans="1:13" ht="16" x14ac:dyDescent="0.2">
      <c r="A476" s="142" t="s">
        <v>766</v>
      </c>
      <c r="B476" s="143">
        <v>45975</v>
      </c>
      <c r="C476" s="142" t="s">
        <v>296</v>
      </c>
      <c r="D476" s="142">
        <v>2026</v>
      </c>
      <c r="E476" s="142">
        <v>99</v>
      </c>
      <c r="F476" s="144" t="s">
        <v>294</v>
      </c>
      <c r="G476" s="142" t="s">
        <v>87</v>
      </c>
      <c r="H476" s="145">
        <v>1640</v>
      </c>
      <c r="I476" s="142" t="s">
        <v>290</v>
      </c>
      <c r="J476" s="142" t="s">
        <v>291</v>
      </c>
      <c r="K476" s="142" t="s">
        <v>290</v>
      </c>
      <c r="L476" s="371">
        <f>IF(PolicyData[[#This Row],[ClaimFiled_Last5Yrs]]="Y",1,0)</f>
        <v>0</v>
      </c>
      <c r="M476" s="371">
        <f>IF(PolicyData[[#This Row],[Region]]="EAST",1,0)</f>
        <v>0</v>
      </c>
    </row>
    <row r="477" spans="1:13" ht="16" x14ac:dyDescent="0.2">
      <c r="A477" s="142" t="s">
        <v>767</v>
      </c>
      <c r="B477" s="143">
        <v>46051</v>
      </c>
      <c r="C477" s="142" t="s">
        <v>297</v>
      </c>
      <c r="D477" s="142">
        <v>2026</v>
      </c>
      <c r="E477" s="142">
        <v>52</v>
      </c>
      <c r="F477" s="144" t="s">
        <v>282</v>
      </c>
      <c r="G477" s="142" t="s">
        <v>85</v>
      </c>
      <c r="H477" s="146">
        <v>3300</v>
      </c>
      <c r="I477" s="142" t="s">
        <v>290</v>
      </c>
      <c r="J477" s="142" t="s">
        <v>291</v>
      </c>
      <c r="K477" s="142" t="s">
        <v>290</v>
      </c>
      <c r="L477" s="371">
        <f>IF(PolicyData[[#This Row],[ClaimFiled_Last5Yrs]]="Y",1,0)</f>
        <v>0</v>
      </c>
      <c r="M477" s="371">
        <f>IF(PolicyData[[#This Row],[Region]]="EAST",1,0)</f>
        <v>0</v>
      </c>
    </row>
    <row r="478" spans="1:13" ht="16" x14ac:dyDescent="0.2">
      <c r="A478" s="142" t="s">
        <v>768</v>
      </c>
      <c r="B478" s="143">
        <v>46070</v>
      </c>
      <c r="C478" s="142" t="s">
        <v>298</v>
      </c>
      <c r="D478" s="142">
        <v>2026</v>
      </c>
      <c r="E478" s="142">
        <v>100</v>
      </c>
      <c r="F478" s="144" t="s">
        <v>281</v>
      </c>
      <c r="G478" s="142" t="s">
        <v>87</v>
      </c>
      <c r="H478" s="146">
        <v>1200</v>
      </c>
      <c r="I478" s="142" t="s">
        <v>290</v>
      </c>
      <c r="J478" s="142" t="s">
        <v>291</v>
      </c>
      <c r="K478" s="142" t="s">
        <v>290</v>
      </c>
      <c r="L478" s="371">
        <f>IF(PolicyData[[#This Row],[ClaimFiled_Last5Yrs]]="Y",1,0)</f>
        <v>0</v>
      </c>
      <c r="M478" s="371">
        <f>IF(PolicyData[[#This Row],[Region]]="EAST",1,0)</f>
        <v>0</v>
      </c>
    </row>
    <row r="479" spans="1:13" ht="16" x14ac:dyDescent="0.2">
      <c r="A479" s="142" t="s">
        <v>769</v>
      </c>
      <c r="B479" s="143">
        <v>46087</v>
      </c>
      <c r="C479" s="142" t="s">
        <v>299</v>
      </c>
      <c r="D479" s="142">
        <v>2026</v>
      </c>
      <c r="E479" s="142">
        <v>55</v>
      </c>
      <c r="F479" s="144" t="s">
        <v>283</v>
      </c>
      <c r="G479" s="142" t="s">
        <v>85</v>
      </c>
      <c r="H479" s="146">
        <v>3100</v>
      </c>
      <c r="I479" s="142" t="s">
        <v>291</v>
      </c>
      <c r="J479" s="142" t="s">
        <v>291</v>
      </c>
      <c r="K479" s="142" t="s">
        <v>290</v>
      </c>
      <c r="L479" s="371">
        <f>IF(PolicyData[[#This Row],[ClaimFiled_Last5Yrs]]="Y",1,0)</f>
        <v>1</v>
      </c>
      <c r="M479" s="371">
        <f>IF(PolicyData[[#This Row],[Region]]="EAST",1,0)</f>
        <v>1</v>
      </c>
    </row>
    <row r="480" spans="1:13" ht="16" x14ac:dyDescent="0.2">
      <c r="A480" s="142" t="s">
        <v>770</v>
      </c>
      <c r="B480" s="143">
        <v>46131</v>
      </c>
      <c r="C480" s="142" t="s">
        <v>300</v>
      </c>
      <c r="D480" s="142">
        <v>2026</v>
      </c>
      <c r="E480" s="142">
        <v>93</v>
      </c>
      <c r="F480" s="144" t="s">
        <v>294</v>
      </c>
      <c r="G480" s="142" t="s">
        <v>90</v>
      </c>
      <c r="H480" s="146">
        <v>2700</v>
      </c>
      <c r="I480" s="142" t="s">
        <v>290</v>
      </c>
      <c r="J480" s="142" t="s">
        <v>291</v>
      </c>
      <c r="K480" s="142" t="s">
        <v>290</v>
      </c>
      <c r="L480" s="371">
        <f>IF(PolicyData[[#This Row],[ClaimFiled_Last5Yrs]]="Y",1,0)</f>
        <v>0</v>
      </c>
      <c r="M480" s="371">
        <f>IF(PolicyData[[#This Row],[Region]]="EAST",1,0)</f>
        <v>0</v>
      </c>
    </row>
    <row r="481" spans="1:13" ht="16" x14ac:dyDescent="0.2">
      <c r="A481" s="142" t="s">
        <v>771</v>
      </c>
      <c r="B481" s="143">
        <v>46146</v>
      </c>
      <c r="C481" s="142" t="s">
        <v>301</v>
      </c>
      <c r="D481" s="142">
        <v>2026</v>
      </c>
      <c r="E481" s="142">
        <v>46</v>
      </c>
      <c r="F481" s="144" t="s">
        <v>282</v>
      </c>
      <c r="G481" s="142" t="s">
        <v>85</v>
      </c>
      <c r="H481" s="146">
        <v>3500</v>
      </c>
      <c r="I481" s="142" t="s">
        <v>291</v>
      </c>
      <c r="J481" s="142" t="s">
        <v>290</v>
      </c>
      <c r="K481" s="142" t="s">
        <v>290</v>
      </c>
      <c r="L481" s="371">
        <f>IF(PolicyData[[#This Row],[ClaimFiled_Last5Yrs]]="Y",1,0)</f>
        <v>1</v>
      </c>
      <c r="M481" s="371">
        <f>IF(PolicyData[[#This Row],[Region]]="EAST",1,0)</f>
        <v>0</v>
      </c>
    </row>
    <row r="482" spans="1:13" ht="16" x14ac:dyDescent="0.2">
      <c r="A482" s="142" t="s">
        <v>772</v>
      </c>
      <c r="B482" s="143">
        <v>46224</v>
      </c>
      <c r="C482" s="142" t="s">
        <v>289</v>
      </c>
      <c r="D482" s="142">
        <v>2026</v>
      </c>
      <c r="E482" s="142">
        <v>60</v>
      </c>
      <c r="F482" s="144" t="s">
        <v>281</v>
      </c>
      <c r="G482" s="142" t="s">
        <v>85</v>
      </c>
      <c r="H482" s="145">
        <v>2650</v>
      </c>
      <c r="I482" s="142" t="s">
        <v>290</v>
      </c>
      <c r="J482" s="142" t="s">
        <v>291</v>
      </c>
      <c r="K482" s="142" t="s">
        <v>290</v>
      </c>
      <c r="L482" s="371">
        <f>IF(PolicyData[[#This Row],[ClaimFiled_Last5Yrs]]="Y",1,0)</f>
        <v>0</v>
      </c>
      <c r="M482" s="371">
        <f>IF(PolicyData[[#This Row],[Region]]="EAST",1,0)</f>
        <v>0</v>
      </c>
    </row>
    <row r="483" spans="1:13" ht="16" x14ac:dyDescent="0.2">
      <c r="A483" s="142" t="s">
        <v>773</v>
      </c>
      <c r="B483" s="143">
        <v>46241</v>
      </c>
      <c r="C483" s="142" t="s">
        <v>292</v>
      </c>
      <c r="D483" s="142">
        <v>2026</v>
      </c>
      <c r="E483" s="142">
        <v>70</v>
      </c>
      <c r="F483" s="144" t="s">
        <v>283</v>
      </c>
      <c r="G483" s="142" t="s">
        <v>87</v>
      </c>
      <c r="H483" s="145">
        <v>1310</v>
      </c>
      <c r="I483" s="142" t="s">
        <v>290</v>
      </c>
      <c r="J483" s="142" t="s">
        <v>291</v>
      </c>
      <c r="K483" s="142" t="s">
        <v>291</v>
      </c>
      <c r="L483" s="371">
        <f>IF(PolicyData[[#This Row],[ClaimFiled_Last5Yrs]]="Y",1,0)</f>
        <v>0</v>
      </c>
      <c r="M483" s="371">
        <f>IF(PolicyData[[#This Row],[Region]]="EAST",1,0)</f>
        <v>1</v>
      </c>
    </row>
    <row r="484" spans="1:13" ht="16" x14ac:dyDescent="0.2">
      <c r="A484" s="142" t="s">
        <v>774</v>
      </c>
      <c r="B484" s="143">
        <v>46282</v>
      </c>
      <c r="C484" s="142" t="s">
        <v>293</v>
      </c>
      <c r="D484" s="142">
        <v>2026</v>
      </c>
      <c r="E484" s="142">
        <v>39</v>
      </c>
      <c r="F484" s="144" t="s">
        <v>294</v>
      </c>
      <c r="G484" s="142" t="s">
        <v>85</v>
      </c>
      <c r="H484" s="145">
        <v>3550</v>
      </c>
      <c r="I484" s="142" t="s">
        <v>291</v>
      </c>
      <c r="J484" s="142" t="s">
        <v>290</v>
      </c>
      <c r="K484" s="142" t="s">
        <v>290</v>
      </c>
      <c r="L484" s="371">
        <f>IF(PolicyData[[#This Row],[ClaimFiled_Last5Yrs]]="Y",1,0)</f>
        <v>1</v>
      </c>
      <c r="M484" s="371">
        <f>IF(PolicyData[[#This Row],[Region]]="EAST",1,0)</f>
        <v>0</v>
      </c>
    </row>
    <row r="485" spans="1:13" ht="16" x14ac:dyDescent="0.2">
      <c r="A485" s="142" t="s">
        <v>775</v>
      </c>
      <c r="B485" s="143">
        <v>46324</v>
      </c>
      <c r="C485" s="142" t="s">
        <v>295</v>
      </c>
      <c r="D485" s="142">
        <v>2026</v>
      </c>
      <c r="E485" s="142">
        <v>94</v>
      </c>
      <c r="F485" s="144" t="s">
        <v>282</v>
      </c>
      <c r="G485" s="142" t="s">
        <v>90</v>
      </c>
      <c r="H485" s="145">
        <v>1460</v>
      </c>
      <c r="I485" s="142" t="s">
        <v>290</v>
      </c>
      <c r="J485" s="142" t="s">
        <v>291</v>
      </c>
      <c r="K485" s="142" t="s">
        <v>290</v>
      </c>
      <c r="L485" s="371">
        <f>IF(PolicyData[[#This Row],[ClaimFiled_Last5Yrs]]="Y",1,0)</f>
        <v>0</v>
      </c>
      <c r="M485" s="371">
        <f>IF(PolicyData[[#This Row],[Region]]="EAST",1,0)</f>
        <v>0</v>
      </c>
    </row>
    <row r="486" spans="1:13" ht="16" x14ac:dyDescent="0.2">
      <c r="A486" s="142" t="s">
        <v>776</v>
      </c>
      <c r="B486" s="143">
        <v>45976</v>
      </c>
      <c r="C486" s="142" t="s">
        <v>296</v>
      </c>
      <c r="D486" s="142">
        <v>2026</v>
      </c>
      <c r="E486" s="142">
        <v>63</v>
      </c>
      <c r="F486" s="144" t="s">
        <v>281</v>
      </c>
      <c r="G486" s="142" t="s">
        <v>85</v>
      </c>
      <c r="H486" s="146">
        <v>3550</v>
      </c>
      <c r="I486" s="142" t="s">
        <v>290</v>
      </c>
      <c r="J486" s="142" t="s">
        <v>291</v>
      </c>
      <c r="K486" s="142" t="s">
        <v>290</v>
      </c>
      <c r="L486" s="371">
        <f>IF(PolicyData[[#This Row],[ClaimFiled_Last5Yrs]]="Y",1,0)</f>
        <v>0</v>
      </c>
      <c r="M486" s="371">
        <f>IF(PolicyData[[#This Row],[Region]]="EAST",1,0)</f>
        <v>0</v>
      </c>
    </row>
    <row r="487" spans="1:13" ht="16" x14ac:dyDescent="0.2">
      <c r="A487" s="142" t="s">
        <v>777</v>
      </c>
      <c r="B487" s="143">
        <v>45999</v>
      </c>
      <c r="C487" s="142" t="s">
        <v>297</v>
      </c>
      <c r="D487" s="142">
        <v>2026</v>
      </c>
      <c r="E487" s="142">
        <v>100</v>
      </c>
      <c r="F487" s="144" t="s">
        <v>283</v>
      </c>
      <c r="G487" s="142" t="s">
        <v>87</v>
      </c>
      <c r="H487" s="146">
        <v>1200</v>
      </c>
      <c r="I487" s="142" t="s">
        <v>290</v>
      </c>
      <c r="J487" s="142" t="s">
        <v>291</v>
      </c>
      <c r="K487" s="142" t="s">
        <v>290</v>
      </c>
      <c r="L487" s="371">
        <f>IF(PolicyData[[#This Row],[ClaimFiled_Last5Yrs]]="Y",1,0)</f>
        <v>0</v>
      </c>
      <c r="M487" s="371">
        <f>IF(PolicyData[[#This Row],[Region]]="EAST",1,0)</f>
        <v>1</v>
      </c>
    </row>
    <row r="488" spans="1:13" ht="16" x14ac:dyDescent="0.2">
      <c r="A488" s="142" t="s">
        <v>778</v>
      </c>
      <c r="B488" s="143">
        <v>46033</v>
      </c>
      <c r="C488" s="142" t="s">
        <v>298</v>
      </c>
      <c r="D488" s="142">
        <v>2026</v>
      </c>
      <c r="E488" s="142">
        <v>53</v>
      </c>
      <c r="F488" s="144" t="s">
        <v>282</v>
      </c>
      <c r="G488" s="142" t="s">
        <v>85</v>
      </c>
      <c r="H488" s="145">
        <v>3350</v>
      </c>
      <c r="I488" s="142" t="s">
        <v>291</v>
      </c>
      <c r="J488" s="142" t="s">
        <v>290</v>
      </c>
      <c r="K488" s="142" t="s">
        <v>290</v>
      </c>
      <c r="L488" s="371">
        <f>IF(PolicyData[[#This Row],[ClaimFiled_Last5Yrs]]="Y",1,0)</f>
        <v>1</v>
      </c>
      <c r="M488" s="371">
        <f>IF(PolicyData[[#This Row],[Region]]="EAST",1,0)</f>
        <v>0</v>
      </c>
    </row>
    <row r="489" spans="1:13" ht="16" x14ac:dyDescent="0.2">
      <c r="A489" s="142" t="s">
        <v>779</v>
      </c>
      <c r="B489" s="143">
        <v>46077</v>
      </c>
      <c r="C489" s="142" t="s">
        <v>299</v>
      </c>
      <c r="D489" s="142">
        <v>2026</v>
      </c>
      <c r="E489" s="142">
        <v>95</v>
      </c>
      <c r="F489" s="144" t="s">
        <v>294</v>
      </c>
      <c r="G489" s="142" t="s">
        <v>85</v>
      </c>
      <c r="H489" s="146">
        <v>3150</v>
      </c>
      <c r="I489" s="142" t="s">
        <v>290</v>
      </c>
      <c r="J489" s="142" t="s">
        <v>291</v>
      </c>
      <c r="K489" s="142" t="s">
        <v>290</v>
      </c>
      <c r="L489" s="371">
        <f>IF(PolicyData[[#This Row],[ClaimFiled_Last5Yrs]]="Y",1,0)</f>
        <v>0</v>
      </c>
      <c r="M489" s="371">
        <f>IF(PolicyData[[#This Row],[Region]]="EAST",1,0)</f>
        <v>0</v>
      </c>
    </row>
    <row r="490" spans="1:13" ht="16" x14ac:dyDescent="0.2">
      <c r="A490" s="142" t="s">
        <v>780</v>
      </c>
      <c r="B490" s="143">
        <v>46097</v>
      </c>
      <c r="C490" s="142" t="s">
        <v>300</v>
      </c>
      <c r="D490" s="142">
        <v>2026</v>
      </c>
      <c r="E490" s="142">
        <v>59</v>
      </c>
      <c r="F490" s="144" t="s">
        <v>281</v>
      </c>
      <c r="G490" s="142" t="s">
        <v>87</v>
      </c>
      <c r="H490" s="145">
        <v>1500</v>
      </c>
      <c r="I490" s="142" t="s">
        <v>290</v>
      </c>
      <c r="J490" s="142" t="s">
        <v>291</v>
      </c>
      <c r="K490" s="142" t="s">
        <v>290</v>
      </c>
      <c r="L490" s="371">
        <f>IF(PolicyData[[#This Row],[ClaimFiled_Last5Yrs]]="Y",1,0)</f>
        <v>0</v>
      </c>
      <c r="M490" s="371">
        <f>IF(PolicyData[[#This Row],[Region]]="EAST",1,0)</f>
        <v>0</v>
      </c>
    </row>
    <row r="491" spans="1:13" ht="16" x14ac:dyDescent="0.2">
      <c r="A491" s="142" t="s">
        <v>781</v>
      </c>
      <c r="B491" s="143">
        <v>46142</v>
      </c>
      <c r="C491" s="142" t="s">
        <v>301</v>
      </c>
      <c r="D491" s="142">
        <v>2026</v>
      </c>
      <c r="E491" s="142">
        <v>44</v>
      </c>
      <c r="F491" s="144" t="s">
        <v>283</v>
      </c>
      <c r="G491" s="142" t="s">
        <v>85</v>
      </c>
      <c r="H491" s="145">
        <v>3500</v>
      </c>
      <c r="I491" s="142" t="s">
        <v>291</v>
      </c>
      <c r="J491" s="142" t="s">
        <v>291</v>
      </c>
      <c r="K491" s="142" t="s">
        <v>291</v>
      </c>
      <c r="L491" s="371">
        <f>IF(PolicyData[[#This Row],[ClaimFiled_Last5Yrs]]="Y",1,0)</f>
        <v>1</v>
      </c>
      <c r="M491" s="371">
        <f>IF(PolicyData[[#This Row],[Region]]="EAST",1,0)</f>
        <v>1</v>
      </c>
    </row>
    <row r="492" spans="1:13" ht="16" x14ac:dyDescent="0.2">
      <c r="A492" s="142" t="s">
        <v>782</v>
      </c>
      <c r="B492" s="143">
        <v>46165</v>
      </c>
      <c r="C492" s="142" t="s">
        <v>289</v>
      </c>
      <c r="D492" s="142">
        <v>2026</v>
      </c>
      <c r="E492" s="142">
        <v>101</v>
      </c>
      <c r="F492" s="144" t="s">
        <v>294</v>
      </c>
      <c r="G492" s="142" t="s">
        <v>87</v>
      </c>
      <c r="H492" s="145">
        <v>1050</v>
      </c>
      <c r="I492" s="142" t="s">
        <v>290</v>
      </c>
      <c r="J492" s="142" t="s">
        <v>291</v>
      </c>
      <c r="K492" s="142" t="s">
        <v>290</v>
      </c>
      <c r="L492" s="371">
        <f>IF(PolicyData[[#This Row],[ClaimFiled_Last5Yrs]]="Y",1,0)</f>
        <v>0</v>
      </c>
      <c r="M492" s="371">
        <f>IF(PolicyData[[#This Row],[Region]]="EAST",1,0)</f>
        <v>0</v>
      </c>
    </row>
    <row r="493" spans="1:13" ht="16" x14ac:dyDescent="0.2">
      <c r="A493" s="142" t="s">
        <v>783</v>
      </c>
      <c r="B493" s="143">
        <v>46207</v>
      </c>
      <c r="C493" s="142" t="s">
        <v>292</v>
      </c>
      <c r="D493" s="142">
        <v>2026</v>
      </c>
      <c r="E493" s="142">
        <v>54</v>
      </c>
      <c r="F493" s="144" t="s">
        <v>282</v>
      </c>
      <c r="G493" s="142" t="s">
        <v>85</v>
      </c>
      <c r="H493" s="145">
        <v>2730</v>
      </c>
      <c r="I493" s="142" t="s">
        <v>290</v>
      </c>
      <c r="J493" s="142" t="s">
        <v>291</v>
      </c>
      <c r="K493" s="142" t="s">
        <v>290</v>
      </c>
      <c r="L493" s="371">
        <f>IF(PolicyData[[#This Row],[ClaimFiled_Last5Yrs]]="Y",1,0)</f>
        <v>0</v>
      </c>
      <c r="M493" s="371">
        <f>IF(PolicyData[[#This Row],[Region]]="EAST",1,0)</f>
        <v>0</v>
      </c>
    </row>
    <row r="494" spans="1:13" ht="16" x14ac:dyDescent="0.2">
      <c r="A494" s="142" t="s">
        <v>784</v>
      </c>
      <c r="B494" s="143">
        <v>46255</v>
      </c>
      <c r="C494" s="142" t="s">
        <v>293</v>
      </c>
      <c r="D494" s="142">
        <v>2026</v>
      </c>
      <c r="E494" s="142">
        <v>65</v>
      </c>
      <c r="F494" s="144" t="s">
        <v>281</v>
      </c>
      <c r="G494" s="142" t="s">
        <v>90</v>
      </c>
      <c r="H494" s="146">
        <v>2600</v>
      </c>
      <c r="I494" s="142" t="s">
        <v>291</v>
      </c>
      <c r="J494" s="142" t="s">
        <v>291</v>
      </c>
      <c r="K494" s="142" t="s">
        <v>290</v>
      </c>
      <c r="L494" s="371">
        <f>IF(PolicyData[[#This Row],[ClaimFiled_Last5Yrs]]="Y",1,0)</f>
        <v>1</v>
      </c>
      <c r="M494" s="371">
        <f>IF(PolicyData[[#This Row],[Region]]="EAST",1,0)</f>
        <v>0</v>
      </c>
    </row>
    <row r="495" spans="1:13" ht="16" x14ac:dyDescent="0.2">
      <c r="A495" s="148" t="s">
        <v>785</v>
      </c>
      <c r="B495" s="143">
        <v>46290</v>
      </c>
      <c r="C495" s="142" t="s">
        <v>295</v>
      </c>
      <c r="D495" s="142">
        <v>2026</v>
      </c>
      <c r="E495" s="142">
        <v>38</v>
      </c>
      <c r="F495" s="144" t="s">
        <v>283</v>
      </c>
      <c r="G495" s="142" t="s">
        <v>85</v>
      </c>
      <c r="H495" s="146">
        <v>3750</v>
      </c>
      <c r="I495" s="142" t="s">
        <v>290</v>
      </c>
      <c r="J495" s="142" t="s">
        <v>290</v>
      </c>
      <c r="K495" s="142" t="s">
        <v>291</v>
      </c>
      <c r="L495" s="371">
        <f>IF(PolicyData[[#This Row],[ClaimFiled_Last5Yrs]]="Y",1,0)</f>
        <v>0</v>
      </c>
      <c r="M495" s="371">
        <f>IF(PolicyData[[#This Row],[Region]]="EAST",1,0)</f>
        <v>1</v>
      </c>
    </row>
    <row r="496" spans="1:13" ht="16" x14ac:dyDescent="0.2">
      <c r="A496" s="148" t="s">
        <v>786</v>
      </c>
      <c r="B496" s="143">
        <v>45975</v>
      </c>
      <c r="C496" s="142" t="s">
        <v>296</v>
      </c>
      <c r="D496" s="142">
        <v>2026</v>
      </c>
      <c r="E496" s="142">
        <v>102</v>
      </c>
      <c r="F496" s="144" t="s">
        <v>294</v>
      </c>
      <c r="G496" s="142" t="s">
        <v>87</v>
      </c>
      <c r="H496" s="146">
        <v>1670</v>
      </c>
      <c r="I496" s="142" t="s">
        <v>290</v>
      </c>
      <c r="J496" s="142" t="s">
        <v>291</v>
      </c>
      <c r="K496" s="142" t="s">
        <v>290</v>
      </c>
      <c r="L496" s="371">
        <f>IF(PolicyData[[#This Row],[ClaimFiled_Last5Yrs]]="Y",1,0)</f>
        <v>0</v>
      </c>
      <c r="M496" s="371">
        <f>IF(PolicyData[[#This Row],[Region]]="EAST",1,0)</f>
        <v>0</v>
      </c>
    </row>
    <row r="497" spans="1:13" ht="16" x14ac:dyDescent="0.2">
      <c r="A497" s="148" t="s">
        <v>787</v>
      </c>
      <c r="B497" s="143">
        <v>46051</v>
      </c>
      <c r="C497" s="142" t="s">
        <v>297</v>
      </c>
      <c r="D497" s="142">
        <v>2026</v>
      </c>
      <c r="E497" s="142">
        <v>55</v>
      </c>
      <c r="F497" s="144" t="s">
        <v>282</v>
      </c>
      <c r="G497" s="142" t="s">
        <v>85</v>
      </c>
      <c r="H497" s="146">
        <v>3400</v>
      </c>
      <c r="I497" s="142" t="s">
        <v>290</v>
      </c>
      <c r="J497" s="142" t="s">
        <v>291</v>
      </c>
      <c r="K497" s="142" t="s">
        <v>290</v>
      </c>
      <c r="L497" s="371">
        <f>IF(PolicyData[[#This Row],[ClaimFiled_Last5Yrs]]="Y",1,0)</f>
        <v>0</v>
      </c>
      <c r="M497" s="371">
        <f>IF(PolicyData[[#This Row],[Region]]="EAST",1,0)</f>
        <v>0</v>
      </c>
    </row>
    <row r="498" spans="1:13" ht="16" x14ac:dyDescent="0.2">
      <c r="A498" s="148" t="s">
        <v>788</v>
      </c>
      <c r="B498" s="143">
        <v>46070</v>
      </c>
      <c r="C498" s="142" t="s">
        <v>298</v>
      </c>
      <c r="D498" s="142">
        <v>2026</v>
      </c>
      <c r="E498" s="142">
        <v>103</v>
      </c>
      <c r="F498" s="144" t="s">
        <v>281</v>
      </c>
      <c r="G498" s="142" t="s">
        <v>87</v>
      </c>
      <c r="H498" s="146">
        <v>1230</v>
      </c>
      <c r="I498" s="142" t="s">
        <v>290</v>
      </c>
      <c r="J498" s="142" t="s">
        <v>291</v>
      </c>
      <c r="K498" s="142" t="s">
        <v>290</v>
      </c>
      <c r="L498" s="371">
        <f>IF(PolicyData[[#This Row],[ClaimFiled_Last5Yrs]]="Y",1,0)</f>
        <v>0</v>
      </c>
      <c r="M498" s="371">
        <f>IF(PolicyData[[#This Row],[Region]]="EAST",1,0)</f>
        <v>0</v>
      </c>
    </row>
    <row r="499" spans="1:13" ht="16" x14ac:dyDescent="0.2">
      <c r="A499" s="148" t="s">
        <v>789</v>
      </c>
      <c r="B499" s="143">
        <v>46087</v>
      </c>
      <c r="C499" s="142" t="s">
        <v>299</v>
      </c>
      <c r="D499" s="142">
        <v>2026</v>
      </c>
      <c r="E499" s="142">
        <v>56</v>
      </c>
      <c r="F499" s="144" t="s">
        <v>283</v>
      </c>
      <c r="G499" s="142" t="s">
        <v>85</v>
      </c>
      <c r="H499" s="146">
        <v>3200</v>
      </c>
      <c r="I499" s="142" t="s">
        <v>291</v>
      </c>
      <c r="J499" s="142" t="s">
        <v>291</v>
      </c>
      <c r="K499" s="142" t="s">
        <v>290</v>
      </c>
      <c r="L499" s="371">
        <f>IF(PolicyData[[#This Row],[ClaimFiled_Last5Yrs]]="Y",1,0)</f>
        <v>1</v>
      </c>
      <c r="M499" s="371">
        <f>IF(PolicyData[[#This Row],[Region]]="EAST",1,0)</f>
        <v>1</v>
      </c>
    </row>
    <row r="500" spans="1:13" ht="16" x14ac:dyDescent="0.2">
      <c r="A500" s="148" t="s">
        <v>790</v>
      </c>
      <c r="B500" s="143">
        <v>46131</v>
      </c>
      <c r="C500" s="142" t="s">
        <v>300</v>
      </c>
      <c r="D500" s="142">
        <v>2026</v>
      </c>
      <c r="E500" s="142">
        <v>96</v>
      </c>
      <c r="F500" s="144" t="s">
        <v>294</v>
      </c>
      <c r="G500" s="142" t="s">
        <v>90</v>
      </c>
      <c r="H500" s="146">
        <v>2800</v>
      </c>
      <c r="I500" s="142" t="s">
        <v>290</v>
      </c>
      <c r="J500" s="142" t="s">
        <v>291</v>
      </c>
      <c r="K500" s="142" t="s">
        <v>290</v>
      </c>
      <c r="L500" s="371">
        <f>IF(PolicyData[[#This Row],[ClaimFiled_Last5Yrs]]="Y",1,0)</f>
        <v>0</v>
      </c>
      <c r="M500" s="371">
        <f>IF(PolicyData[[#This Row],[Region]]="EAST",1,0)</f>
        <v>0</v>
      </c>
    </row>
    <row r="501" spans="1:13" ht="16" x14ac:dyDescent="0.2">
      <c r="A501" s="148" t="s">
        <v>791</v>
      </c>
      <c r="B501" s="143">
        <v>46146</v>
      </c>
      <c r="C501" s="142" t="s">
        <v>301</v>
      </c>
      <c r="D501" s="142">
        <v>2026</v>
      </c>
      <c r="E501" s="142">
        <v>47</v>
      </c>
      <c r="F501" s="144" t="s">
        <v>282</v>
      </c>
      <c r="G501" s="142" t="s">
        <v>85</v>
      </c>
      <c r="H501" s="146">
        <v>3600</v>
      </c>
      <c r="I501" s="142" t="s">
        <v>291</v>
      </c>
      <c r="J501" s="142" t="s">
        <v>290</v>
      </c>
      <c r="K501" s="142" t="s">
        <v>290</v>
      </c>
      <c r="L501" s="371">
        <f>IF(PolicyData[[#This Row],[ClaimFiled_Last5Yrs]]="Y",1,0)</f>
        <v>1</v>
      </c>
      <c r="M501" s="371">
        <f>IF(PolicyData[[#This Row],[Region]]="EAST",1,0)</f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D688-BE36-4626-8ABA-3F6238E501AF}">
  <dimension ref="B1:FC302"/>
  <sheetViews>
    <sheetView topLeftCell="A23" zoomScale="130" zoomScaleNormal="130" workbookViewId="0">
      <selection activeCell="Q41" sqref="Q41"/>
    </sheetView>
  </sheetViews>
  <sheetFormatPr baseColWidth="10" defaultColWidth="8.6640625" defaultRowHeight="15" x14ac:dyDescent="0.2"/>
  <cols>
    <col min="1" max="1" width="2.6640625" style="2" customWidth="1"/>
    <col min="2" max="2" width="13.5" style="2" bestFit="1" customWidth="1"/>
    <col min="3" max="3" width="20.83203125" style="2" bestFit="1" customWidth="1"/>
    <col min="4" max="8" width="8.6640625" style="2"/>
    <col min="9" max="9" width="12.1640625" style="2" customWidth="1"/>
    <col min="10" max="13" width="8.6640625" style="2"/>
    <col min="14" max="14" width="2.6640625" style="2" customWidth="1"/>
    <col min="15" max="15" width="3.33203125" style="2" customWidth="1"/>
    <col min="16" max="16" width="12.83203125" style="2" bestFit="1" customWidth="1"/>
    <col min="17" max="17" width="19.5" style="2" bestFit="1" customWidth="1"/>
    <col min="18" max="18" width="13.6640625" style="2" bestFit="1" customWidth="1"/>
    <col min="19" max="19" width="9.1640625" style="2" bestFit="1" customWidth="1"/>
    <col min="20" max="20" width="10" style="2" bestFit="1" customWidth="1"/>
    <col min="21" max="26" width="8.6640625" style="2"/>
    <col min="27" max="27" width="8.6640625" style="2" customWidth="1"/>
    <col min="28" max="28" width="12.33203125" style="2" customWidth="1"/>
    <col min="29" max="16384" width="8.6640625" style="2"/>
  </cols>
  <sheetData>
    <row r="1" spans="2:28" x14ac:dyDescent="0.2">
      <c r="N1" s="126"/>
    </row>
    <row r="2" spans="2:28" ht="21" x14ac:dyDescent="0.25">
      <c r="B2" s="63" t="s">
        <v>792</v>
      </c>
      <c r="C2" s="52"/>
      <c r="D2" s="52"/>
      <c r="E2" s="52"/>
      <c r="N2" s="126"/>
    </row>
    <row r="3" spans="2:28" ht="14.5" customHeight="1" thickBot="1" x14ac:dyDescent="0.3">
      <c r="B3" s="82"/>
      <c r="C3" s="65"/>
      <c r="D3" s="65"/>
      <c r="E3" s="65"/>
      <c r="N3" s="126"/>
    </row>
    <row r="4" spans="2:28" ht="20" customHeight="1" x14ac:dyDescent="0.25">
      <c r="B4" s="345" t="s">
        <v>141</v>
      </c>
      <c r="C4" s="358" t="s">
        <v>795</v>
      </c>
      <c r="D4" s="358"/>
      <c r="E4" s="358"/>
      <c r="F4" s="358"/>
      <c r="G4" s="358"/>
      <c r="H4" s="358"/>
      <c r="I4" s="359"/>
      <c r="J4" s="103"/>
      <c r="K4" s="103"/>
      <c r="N4" s="126"/>
      <c r="P4" s="139" t="s">
        <v>808</v>
      </c>
    </row>
    <row r="5" spans="2:28" ht="14.5" customHeight="1" x14ac:dyDescent="0.2">
      <c r="B5" s="346"/>
      <c r="C5" s="354"/>
      <c r="D5" s="354"/>
      <c r="E5" s="354"/>
      <c r="F5" s="354"/>
      <c r="G5" s="354"/>
      <c r="H5" s="354"/>
      <c r="I5" s="355"/>
      <c r="J5" s="103"/>
      <c r="K5" s="103"/>
      <c r="N5" s="126"/>
    </row>
    <row r="6" spans="2:28" ht="14.5" customHeight="1" x14ac:dyDescent="0.2">
      <c r="B6" s="347" t="s">
        <v>142</v>
      </c>
      <c r="C6" s="352" t="s">
        <v>794</v>
      </c>
      <c r="D6" s="352"/>
      <c r="E6" s="352"/>
      <c r="F6" s="352"/>
      <c r="G6" s="352"/>
      <c r="H6" s="352"/>
      <c r="I6" s="353"/>
      <c r="N6" s="126"/>
      <c r="P6" s="52" t="s">
        <v>828</v>
      </c>
    </row>
    <row r="7" spans="2:28" x14ac:dyDescent="0.2">
      <c r="B7" s="347"/>
      <c r="C7" s="352"/>
      <c r="D7" s="352"/>
      <c r="E7" s="352"/>
      <c r="F7" s="352"/>
      <c r="G7" s="352"/>
      <c r="H7" s="352"/>
      <c r="I7" s="353"/>
      <c r="N7" s="126"/>
    </row>
    <row r="8" spans="2:28" ht="14.5" customHeight="1" x14ac:dyDescent="0.2">
      <c r="B8" s="346" t="s">
        <v>143</v>
      </c>
      <c r="C8" s="354" t="s">
        <v>793</v>
      </c>
      <c r="D8" s="354"/>
      <c r="E8" s="354"/>
      <c r="F8" s="354"/>
      <c r="G8" s="354"/>
      <c r="H8" s="354"/>
      <c r="I8" s="355"/>
      <c r="N8" s="126"/>
      <c r="P8" s="52" t="s">
        <v>829</v>
      </c>
    </row>
    <row r="9" spans="2:28" ht="16" thickBot="1" x14ac:dyDescent="0.25">
      <c r="B9" s="348"/>
      <c r="C9" s="356"/>
      <c r="D9" s="356"/>
      <c r="E9" s="356"/>
      <c r="F9" s="356"/>
      <c r="G9" s="356"/>
      <c r="H9" s="356"/>
      <c r="I9" s="357"/>
      <c r="N9" s="126"/>
    </row>
    <row r="10" spans="2:28" ht="19" x14ac:dyDescent="0.25">
      <c r="B10" s="61"/>
      <c r="N10" s="126"/>
      <c r="P10" s="139" t="s">
        <v>809</v>
      </c>
    </row>
    <row r="11" spans="2:28" x14ac:dyDescent="0.2">
      <c r="B11" s="52" t="s">
        <v>802</v>
      </c>
      <c r="N11" s="126"/>
    </row>
    <row r="12" spans="2:28" x14ac:dyDescent="0.2">
      <c r="B12" s="2" t="s">
        <v>796</v>
      </c>
      <c r="N12" s="126"/>
      <c r="P12" s="52" t="s">
        <v>831</v>
      </c>
    </row>
    <row r="13" spans="2:28" x14ac:dyDescent="0.2">
      <c r="B13" s="52" t="s">
        <v>800</v>
      </c>
      <c r="N13" s="126"/>
    </row>
    <row r="14" spans="2:28" x14ac:dyDescent="0.2">
      <c r="B14" s="2" t="s">
        <v>797</v>
      </c>
      <c r="N14" s="126"/>
      <c r="P14" s="52" t="s">
        <v>832</v>
      </c>
    </row>
    <row r="15" spans="2:28" x14ac:dyDescent="0.2">
      <c r="B15" s="52"/>
      <c r="N15" s="126"/>
    </row>
    <row r="16" spans="2:28" x14ac:dyDescent="0.2">
      <c r="B16" s="52" t="s">
        <v>827</v>
      </c>
      <c r="N16" s="126"/>
      <c r="P16" s="349" t="s">
        <v>830</v>
      </c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</row>
    <row r="17" spans="2:159" ht="16" thickBot="1" x14ac:dyDescent="0.25">
      <c r="N17" s="126"/>
      <c r="P17" s="349"/>
      <c r="Q17" s="349"/>
      <c r="R17" s="349"/>
      <c r="S17" s="349"/>
      <c r="T17" s="349"/>
      <c r="U17" s="349"/>
      <c r="V17" s="349"/>
      <c r="W17" s="349"/>
      <c r="X17" s="349"/>
      <c r="Y17" s="349"/>
      <c r="Z17" s="349"/>
      <c r="AA17" s="349"/>
      <c r="AB17" s="349"/>
    </row>
    <row r="18" spans="2:159" ht="16" thickBot="1" x14ac:dyDescent="0.25">
      <c r="B18" s="367" t="s">
        <v>280</v>
      </c>
      <c r="C18" t="s">
        <v>873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</row>
    <row r="19" spans="2:159" x14ac:dyDescent="0.2">
      <c r="B19" s="368" t="s">
        <v>283</v>
      </c>
      <c r="C19" s="369">
        <v>252190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</row>
    <row r="20" spans="2:159" x14ac:dyDescent="0.2">
      <c r="B20" s="368" t="s">
        <v>294</v>
      </c>
      <c r="C20" s="369">
        <v>223610</v>
      </c>
      <c r="D20"/>
      <c r="E20"/>
      <c r="F20"/>
      <c r="G20"/>
      <c r="H20"/>
      <c r="I20"/>
      <c r="J20"/>
      <c r="K20"/>
      <c r="L20"/>
      <c r="M20"/>
      <c r="N20"/>
      <c r="O20"/>
      <c r="P20" s="374" t="s">
        <v>875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</row>
    <row r="21" spans="2:159" x14ac:dyDescent="0.2">
      <c r="B21" s="368" t="s">
        <v>282</v>
      </c>
      <c r="C21" s="369">
        <v>271780</v>
      </c>
      <c r="D21"/>
      <c r="E21"/>
      <c r="F21"/>
      <c r="G21"/>
      <c r="H21"/>
      <c r="I21"/>
      <c r="J21"/>
      <c r="K21"/>
      <c r="L21"/>
      <c r="M21"/>
      <c r="N21"/>
      <c r="O21"/>
      <c r="P21" s="367" t="s">
        <v>871</v>
      </c>
      <c r="Q21" t="s">
        <v>873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</row>
    <row r="22" spans="2:159" x14ac:dyDescent="0.2">
      <c r="B22" s="368" t="s">
        <v>281</v>
      </c>
      <c r="C22" s="369">
        <v>203200</v>
      </c>
      <c r="D22"/>
      <c r="E22"/>
      <c r="F22"/>
      <c r="G22"/>
      <c r="H22"/>
      <c r="I22"/>
      <c r="J22"/>
      <c r="K22"/>
      <c r="L22"/>
      <c r="M22"/>
      <c r="N22"/>
      <c r="O22"/>
      <c r="P22" s="368" t="s">
        <v>90</v>
      </c>
      <c r="Q22" s="369">
        <v>115060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</row>
    <row r="23" spans="2:159" x14ac:dyDescent="0.2">
      <c r="B23" s="368" t="s">
        <v>872</v>
      </c>
      <c r="C23" s="369">
        <v>950780</v>
      </c>
      <c r="D23"/>
      <c r="E23"/>
      <c r="F23"/>
      <c r="G23"/>
      <c r="H23"/>
      <c r="I23"/>
      <c r="J23"/>
      <c r="K23"/>
      <c r="L23"/>
      <c r="M23"/>
      <c r="N23"/>
      <c r="O23"/>
      <c r="P23" s="368" t="s">
        <v>85</v>
      </c>
      <c r="Q23" s="369">
        <v>689170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</row>
    <row r="24" spans="2:159" x14ac:dyDescent="0.2">
      <c r="B24" s="373" t="s">
        <v>877</v>
      </c>
      <c r="C24"/>
      <c r="D24"/>
      <c r="E24"/>
      <c r="F24"/>
      <c r="G24"/>
      <c r="H24"/>
      <c r="I24"/>
      <c r="J24"/>
      <c r="K24"/>
      <c r="L24"/>
      <c r="M24"/>
      <c r="N24"/>
      <c r="O24"/>
      <c r="P24" s="368" t="s">
        <v>87</v>
      </c>
      <c r="Q24" s="369">
        <v>146550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</row>
    <row r="25" spans="2:159" x14ac:dyDescent="0.2">
      <c r="B25" s="150"/>
      <c r="D25" s="151"/>
      <c r="N25" s="126"/>
      <c r="P25" s="368" t="s">
        <v>872</v>
      </c>
      <c r="Q25" s="369">
        <v>950780</v>
      </c>
      <c r="R25"/>
    </row>
    <row r="26" spans="2:159" x14ac:dyDescent="0.2">
      <c r="B26" s="350" t="s">
        <v>810</v>
      </c>
      <c r="C26" s="301"/>
      <c r="D26" s="351"/>
      <c r="N26" s="126"/>
      <c r="P26"/>
      <c r="Q26"/>
      <c r="R26"/>
    </row>
    <row r="27" spans="2:159" x14ac:dyDescent="0.2">
      <c r="B27" s="150"/>
      <c r="D27" s="151"/>
      <c r="N27" s="126"/>
      <c r="P27" s="373" t="s">
        <v>879</v>
      </c>
      <c r="Q27"/>
      <c r="R27"/>
    </row>
    <row r="28" spans="2:159" x14ac:dyDescent="0.2">
      <c r="B28" s="150"/>
      <c r="D28" s="151"/>
      <c r="N28" s="126"/>
      <c r="P28" s="367" t="s">
        <v>873</v>
      </c>
      <c r="Q28" s="367" t="s">
        <v>874</v>
      </c>
      <c r="R28"/>
      <c r="S28"/>
      <c r="T28"/>
    </row>
    <row r="29" spans="2:159" x14ac:dyDescent="0.2">
      <c r="B29" s="150"/>
      <c r="D29" s="151"/>
      <c r="N29" s="126"/>
      <c r="P29" s="367" t="s">
        <v>871</v>
      </c>
      <c r="Q29" t="s">
        <v>90</v>
      </c>
      <c r="R29" t="s">
        <v>85</v>
      </c>
      <c r="S29" t="s">
        <v>87</v>
      </c>
      <c r="T29" t="s">
        <v>872</v>
      </c>
    </row>
    <row r="30" spans="2:159" x14ac:dyDescent="0.2">
      <c r="B30" s="150"/>
      <c r="D30" s="151"/>
      <c r="N30" s="126"/>
      <c r="P30" s="368" t="s">
        <v>283</v>
      </c>
      <c r="Q30" s="369"/>
      <c r="R30" s="369">
        <v>205600</v>
      </c>
      <c r="S30" s="369">
        <v>46590</v>
      </c>
      <c r="T30" s="369">
        <v>252190</v>
      </c>
    </row>
    <row r="31" spans="2:159" x14ac:dyDescent="0.2">
      <c r="B31" s="150"/>
      <c r="D31" s="151"/>
      <c r="N31" s="126"/>
      <c r="P31" s="368" t="s">
        <v>294</v>
      </c>
      <c r="Q31" s="369">
        <v>45250</v>
      </c>
      <c r="R31" s="369">
        <v>127900</v>
      </c>
      <c r="S31" s="369">
        <v>50460</v>
      </c>
      <c r="T31" s="369">
        <v>223610</v>
      </c>
    </row>
    <row r="32" spans="2:159" x14ac:dyDescent="0.2">
      <c r="B32" s="150"/>
      <c r="D32" s="151"/>
      <c r="N32" s="126"/>
      <c r="P32" s="368" t="s">
        <v>282</v>
      </c>
      <c r="Q32" s="369">
        <v>29080</v>
      </c>
      <c r="R32" s="369">
        <v>242700</v>
      </c>
      <c r="S32" s="369"/>
      <c r="T32" s="369">
        <v>271780</v>
      </c>
    </row>
    <row r="33" spans="2:20" x14ac:dyDescent="0.2">
      <c r="B33" s="150"/>
      <c r="D33" s="151"/>
      <c r="N33" s="126"/>
      <c r="P33" s="368" t="s">
        <v>281</v>
      </c>
      <c r="Q33" s="369">
        <v>40730</v>
      </c>
      <c r="R33" s="369">
        <v>112970</v>
      </c>
      <c r="S33" s="369">
        <v>49500</v>
      </c>
      <c r="T33" s="369">
        <v>203200</v>
      </c>
    </row>
    <row r="34" spans="2:20" x14ac:dyDescent="0.2">
      <c r="B34" s="150"/>
      <c r="D34" s="151"/>
      <c r="N34" s="126"/>
      <c r="P34" s="368" t="s">
        <v>872</v>
      </c>
      <c r="Q34" s="369">
        <v>115060</v>
      </c>
      <c r="R34" s="369">
        <v>689170</v>
      </c>
      <c r="S34" s="369">
        <v>146550</v>
      </c>
      <c r="T34" s="369">
        <v>950780</v>
      </c>
    </row>
    <row r="35" spans="2:20" x14ac:dyDescent="0.2">
      <c r="B35" s="152"/>
      <c r="C35" s="153"/>
      <c r="D35" s="154"/>
      <c r="N35" s="126"/>
      <c r="P35"/>
      <c r="Q35"/>
      <c r="R35"/>
    </row>
    <row r="36" spans="2:20" x14ac:dyDescent="0.2">
      <c r="N36" s="126"/>
      <c r="P36" s="373" t="s">
        <v>880</v>
      </c>
      <c r="Q36"/>
      <c r="R36"/>
    </row>
    <row r="37" spans="2:20" x14ac:dyDescent="0.2">
      <c r="B37" s="52" t="s">
        <v>801</v>
      </c>
      <c r="N37" s="126"/>
      <c r="P37" s="367" t="s">
        <v>871</v>
      </c>
      <c r="Q37" t="s">
        <v>890</v>
      </c>
      <c r="R37"/>
    </row>
    <row r="38" spans="2:20" x14ac:dyDescent="0.2">
      <c r="B38" s="2" t="s">
        <v>798</v>
      </c>
      <c r="N38" s="126"/>
      <c r="P38" s="368" t="s">
        <v>881</v>
      </c>
      <c r="Q38" s="369">
        <v>2601</v>
      </c>
      <c r="R38"/>
    </row>
    <row r="39" spans="2:20" x14ac:dyDescent="0.2">
      <c r="B39" s="2" t="s">
        <v>799</v>
      </c>
      <c r="N39" s="126"/>
      <c r="P39" s="368" t="s">
        <v>882</v>
      </c>
      <c r="Q39" s="369">
        <v>2407.6404494382023</v>
      </c>
      <c r="R39"/>
    </row>
    <row r="40" spans="2:20" x14ac:dyDescent="0.2">
      <c r="N40" s="126"/>
      <c r="P40" s="368" t="s">
        <v>883</v>
      </c>
      <c r="Q40" s="369">
        <v>2117.9166666666665</v>
      </c>
      <c r="R40"/>
    </row>
    <row r="41" spans="2:20" x14ac:dyDescent="0.2">
      <c r="B41" s="52" t="s">
        <v>803</v>
      </c>
      <c r="N41" s="126"/>
      <c r="P41" s="368" t="s">
        <v>884</v>
      </c>
      <c r="Q41" s="369">
        <v>1832.9473684210527</v>
      </c>
      <c r="R41"/>
    </row>
    <row r="42" spans="2:20" x14ac:dyDescent="0.2">
      <c r="B42" s="2" t="s">
        <v>804</v>
      </c>
      <c r="N42" s="126"/>
      <c r="P42" s="368" t="s">
        <v>885</v>
      </c>
      <c r="Q42" s="369">
        <v>1449.8275862068965</v>
      </c>
      <c r="R42"/>
    </row>
    <row r="43" spans="2:20" x14ac:dyDescent="0.2">
      <c r="B43" s="2" t="s">
        <v>805</v>
      </c>
      <c r="N43" s="126"/>
      <c r="P43" s="368" t="s">
        <v>886</v>
      </c>
      <c r="Q43" s="369">
        <v>1120</v>
      </c>
      <c r="R43"/>
    </row>
    <row r="44" spans="2:20" x14ac:dyDescent="0.2">
      <c r="B44" s="2" t="s">
        <v>806</v>
      </c>
      <c r="N44" s="126"/>
      <c r="P44" s="368" t="s">
        <v>887</v>
      </c>
      <c r="Q44" s="369">
        <v>1339.7222222222222</v>
      </c>
      <c r="R44"/>
    </row>
    <row r="45" spans="2:20" x14ac:dyDescent="0.2">
      <c r="B45" s="344" t="s">
        <v>807</v>
      </c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N45" s="126"/>
      <c r="P45" s="368" t="s">
        <v>888</v>
      </c>
      <c r="Q45" s="369">
        <v>1611.3636363636363</v>
      </c>
      <c r="R45"/>
    </row>
    <row r="46" spans="2:20" x14ac:dyDescent="0.2">
      <c r="B46" s="344"/>
      <c r="C46" s="344"/>
      <c r="D46" s="344"/>
      <c r="E46" s="344"/>
      <c r="F46" s="344"/>
      <c r="G46" s="344"/>
      <c r="H46" s="344"/>
      <c r="I46" s="344"/>
      <c r="J46" s="344"/>
      <c r="K46" s="344"/>
      <c r="L46" s="344"/>
      <c r="N46" s="126"/>
      <c r="P46" s="368" t="s">
        <v>889</v>
      </c>
      <c r="Q46" s="369">
        <v>1270</v>
      </c>
      <c r="R46"/>
    </row>
    <row r="47" spans="2:20" x14ac:dyDescent="0.2">
      <c r="N47" s="126"/>
      <c r="P47" s="368" t="s">
        <v>872</v>
      </c>
      <c r="Q47" s="369">
        <v>1901.56</v>
      </c>
      <c r="R47"/>
    </row>
    <row r="48" spans="2:20" x14ac:dyDescent="0.2">
      <c r="N48" s="126"/>
      <c r="P48"/>
      <c r="Q48"/>
      <c r="R48"/>
    </row>
    <row r="49" spans="14:18" x14ac:dyDescent="0.2">
      <c r="N49" s="126"/>
      <c r="P49" s="373" t="s">
        <v>891</v>
      </c>
      <c r="Q49"/>
      <c r="R49"/>
    </row>
    <row r="50" spans="14:18" x14ac:dyDescent="0.2">
      <c r="N50" s="126"/>
      <c r="P50" s="369" t="e" vm="1">
        <v>#VALUE!</v>
      </c>
      <c r="Q50"/>
      <c r="R50"/>
    </row>
    <row r="51" spans="14:18" x14ac:dyDescent="0.2">
      <c r="N51" s="126"/>
      <c r="P51"/>
      <c r="Q51"/>
      <c r="R51"/>
    </row>
    <row r="52" spans="14:18" x14ac:dyDescent="0.2">
      <c r="N52" s="126"/>
      <c r="P52"/>
      <c r="Q52"/>
      <c r="R52"/>
    </row>
    <row r="53" spans="14:18" x14ac:dyDescent="0.2">
      <c r="N53" s="126"/>
      <c r="P53"/>
      <c r="Q53"/>
      <c r="R53"/>
    </row>
    <row r="54" spans="14:18" x14ac:dyDescent="0.2">
      <c r="N54" s="126"/>
      <c r="P54"/>
      <c r="Q54"/>
      <c r="R54"/>
    </row>
    <row r="55" spans="14:18" x14ac:dyDescent="0.2">
      <c r="N55" s="126"/>
      <c r="P55"/>
      <c r="Q55"/>
      <c r="R55"/>
    </row>
    <row r="56" spans="14:18" x14ac:dyDescent="0.2">
      <c r="N56" s="126"/>
      <c r="P56"/>
      <c r="Q56"/>
      <c r="R56"/>
    </row>
    <row r="57" spans="14:18" x14ac:dyDescent="0.2">
      <c r="N57" s="126"/>
      <c r="P57" s="373" t="s">
        <v>892</v>
      </c>
      <c r="Q57"/>
      <c r="R57"/>
    </row>
    <row r="58" spans="14:18" x14ac:dyDescent="0.2">
      <c r="N58" s="126"/>
      <c r="P58" s="367" t="s">
        <v>871</v>
      </c>
      <c r="Q58" t="s">
        <v>899</v>
      </c>
      <c r="R58"/>
    </row>
    <row r="59" spans="14:18" x14ac:dyDescent="0.2">
      <c r="N59" s="126"/>
      <c r="P59" s="368" t="s">
        <v>893</v>
      </c>
      <c r="Q59" s="370">
        <v>53</v>
      </c>
      <c r="R59"/>
    </row>
    <row r="60" spans="14:18" x14ac:dyDescent="0.2">
      <c r="N60" s="126"/>
      <c r="P60" s="368" t="s">
        <v>894</v>
      </c>
      <c r="Q60" s="370">
        <v>447</v>
      </c>
      <c r="R60"/>
    </row>
    <row r="61" spans="14:18" x14ac:dyDescent="0.2">
      <c r="N61" s="126"/>
      <c r="P61" s="375" t="s">
        <v>895</v>
      </c>
      <c r="Q61" s="370">
        <v>132</v>
      </c>
      <c r="R61"/>
    </row>
    <row r="62" spans="14:18" x14ac:dyDescent="0.2">
      <c r="N62" s="126"/>
      <c r="P62" s="375" t="s">
        <v>896</v>
      </c>
      <c r="Q62" s="370">
        <v>125</v>
      </c>
      <c r="R62"/>
    </row>
    <row r="63" spans="14:18" x14ac:dyDescent="0.2">
      <c r="N63" s="126"/>
      <c r="P63" s="375" t="s">
        <v>897</v>
      </c>
      <c r="Q63" s="370">
        <v>143</v>
      </c>
      <c r="R63"/>
    </row>
    <row r="64" spans="14:18" x14ac:dyDescent="0.2">
      <c r="N64" s="126"/>
      <c r="P64" s="375" t="s">
        <v>898</v>
      </c>
      <c r="Q64" s="370">
        <v>47</v>
      </c>
      <c r="R64"/>
    </row>
    <row r="65" spans="14:18" x14ac:dyDescent="0.2">
      <c r="N65" s="126"/>
      <c r="P65" s="368" t="s">
        <v>872</v>
      </c>
      <c r="Q65" s="370">
        <v>500</v>
      </c>
      <c r="R65"/>
    </row>
    <row r="66" spans="14:18" x14ac:dyDescent="0.2">
      <c r="N66" s="126"/>
      <c r="P66"/>
      <c r="Q66"/>
      <c r="R66"/>
    </row>
    <row r="67" spans="14:18" x14ac:dyDescent="0.2">
      <c r="N67" s="126"/>
      <c r="P67"/>
      <c r="Q67"/>
      <c r="R67"/>
    </row>
    <row r="68" spans="14:18" x14ac:dyDescent="0.2">
      <c r="N68" s="126"/>
      <c r="P68"/>
      <c r="Q68"/>
      <c r="R68"/>
    </row>
    <row r="69" spans="14:18" x14ac:dyDescent="0.2">
      <c r="N69" s="126"/>
      <c r="P69"/>
      <c r="Q69"/>
      <c r="R69"/>
    </row>
    <row r="70" spans="14:18" x14ac:dyDescent="0.2">
      <c r="N70" s="126"/>
      <c r="P70"/>
      <c r="Q70"/>
      <c r="R70"/>
    </row>
    <row r="71" spans="14:18" x14ac:dyDescent="0.2">
      <c r="N71" s="126"/>
      <c r="P71"/>
      <c r="Q71"/>
      <c r="R71"/>
    </row>
    <row r="72" spans="14:18" x14ac:dyDescent="0.2">
      <c r="N72" s="126"/>
      <c r="P72"/>
      <c r="Q72"/>
      <c r="R72"/>
    </row>
    <row r="73" spans="14:18" x14ac:dyDescent="0.2">
      <c r="N73" s="126"/>
      <c r="P73"/>
      <c r="Q73"/>
      <c r="R73"/>
    </row>
    <row r="74" spans="14:18" x14ac:dyDescent="0.2">
      <c r="N74" s="126"/>
      <c r="P74"/>
      <c r="Q74"/>
      <c r="R74"/>
    </row>
    <row r="75" spans="14:18" x14ac:dyDescent="0.2">
      <c r="N75" s="126"/>
      <c r="P75"/>
      <c r="Q75"/>
      <c r="R75"/>
    </row>
    <row r="76" spans="14:18" x14ac:dyDescent="0.2">
      <c r="N76" s="126"/>
      <c r="P76"/>
      <c r="Q76"/>
    </row>
    <row r="77" spans="14:18" x14ac:dyDescent="0.2">
      <c r="N77" s="126"/>
      <c r="P77"/>
      <c r="Q77"/>
    </row>
    <row r="78" spans="14:18" x14ac:dyDescent="0.2">
      <c r="N78" s="126"/>
      <c r="P78"/>
      <c r="Q78"/>
    </row>
    <row r="79" spans="14:18" x14ac:dyDescent="0.2">
      <c r="N79" s="126"/>
      <c r="P79"/>
      <c r="Q79"/>
    </row>
    <row r="80" spans="14:18" x14ac:dyDescent="0.2">
      <c r="N80" s="126"/>
      <c r="P80"/>
      <c r="Q80"/>
    </row>
    <row r="81" spans="14:17" x14ac:dyDescent="0.2">
      <c r="N81" s="126"/>
      <c r="P81"/>
      <c r="Q81"/>
    </row>
    <row r="82" spans="14:17" x14ac:dyDescent="0.2">
      <c r="N82" s="126"/>
      <c r="P82"/>
      <c r="Q82"/>
    </row>
    <row r="83" spans="14:17" x14ac:dyDescent="0.2">
      <c r="N83" s="126"/>
      <c r="P83"/>
      <c r="Q83"/>
    </row>
    <row r="84" spans="14:17" x14ac:dyDescent="0.2">
      <c r="N84" s="126"/>
      <c r="P84"/>
      <c r="Q84"/>
    </row>
    <row r="85" spans="14:17" x14ac:dyDescent="0.2">
      <c r="N85" s="126"/>
      <c r="P85"/>
      <c r="Q85"/>
    </row>
    <row r="86" spans="14:17" x14ac:dyDescent="0.2">
      <c r="N86" s="126"/>
      <c r="P86"/>
      <c r="Q86"/>
    </row>
    <row r="87" spans="14:17" x14ac:dyDescent="0.2">
      <c r="N87" s="126"/>
      <c r="P87"/>
      <c r="Q87"/>
    </row>
    <row r="88" spans="14:17" x14ac:dyDescent="0.2">
      <c r="N88" s="126"/>
      <c r="P88"/>
      <c r="Q88"/>
    </row>
    <row r="89" spans="14:17" x14ac:dyDescent="0.2">
      <c r="N89" s="126"/>
      <c r="P89"/>
      <c r="Q89"/>
    </row>
    <row r="90" spans="14:17" x14ac:dyDescent="0.2">
      <c r="N90" s="126"/>
      <c r="P90"/>
      <c r="Q90"/>
    </row>
    <row r="91" spans="14:17" x14ac:dyDescent="0.2">
      <c r="N91" s="126"/>
      <c r="P91"/>
      <c r="Q91"/>
    </row>
    <row r="92" spans="14:17" x14ac:dyDescent="0.2">
      <c r="N92" s="126"/>
      <c r="P92"/>
      <c r="Q92"/>
    </row>
    <row r="93" spans="14:17" x14ac:dyDescent="0.2">
      <c r="N93" s="126"/>
      <c r="P93"/>
      <c r="Q93"/>
    </row>
    <row r="94" spans="14:17" x14ac:dyDescent="0.2">
      <c r="N94" s="126"/>
      <c r="P94"/>
      <c r="Q94"/>
    </row>
    <row r="95" spans="14:17" x14ac:dyDescent="0.2">
      <c r="N95" s="126"/>
      <c r="P95"/>
      <c r="Q95"/>
    </row>
    <row r="96" spans="14:17" x14ac:dyDescent="0.2">
      <c r="N96" s="126"/>
      <c r="P96"/>
      <c r="Q96"/>
    </row>
    <row r="97" spans="14:17" x14ac:dyDescent="0.2">
      <c r="N97" s="126"/>
      <c r="P97"/>
      <c r="Q97"/>
    </row>
    <row r="98" spans="14:17" x14ac:dyDescent="0.2">
      <c r="N98" s="126"/>
      <c r="P98"/>
      <c r="Q98"/>
    </row>
    <row r="99" spans="14:17" x14ac:dyDescent="0.2">
      <c r="N99" s="126"/>
      <c r="P99"/>
      <c r="Q99"/>
    </row>
    <row r="100" spans="14:17" x14ac:dyDescent="0.2">
      <c r="N100" s="126"/>
      <c r="P100"/>
      <c r="Q100"/>
    </row>
    <row r="101" spans="14:17" x14ac:dyDescent="0.2">
      <c r="N101" s="126"/>
      <c r="P101"/>
      <c r="Q101"/>
    </row>
    <row r="102" spans="14:17" x14ac:dyDescent="0.2">
      <c r="N102" s="126"/>
      <c r="P102"/>
      <c r="Q102"/>
    </row>
    <row r="103" spans="14:17" x14ac:dyDescent="0.2">
      <c r="N103" s="126"/>
      <c r="P103"/>
      <c r="Q103"/>
    </row>
    <row r="104" spans="14:17" x14ac:dyDescent="0.2">
      <c r="N104" s="126"/>
      <c r="P104"/>
      <c r="Q104"/>
    </row>
    <row r="105" spans="14:17" x14ac:dyDescent="0.2">
      <c r="N105" s="126"/>
      <c r="P105"/>
      <c r="Q105"/>
    </row>
    <row r="106" spans="14:17" x14ac:dyDescent="0.2">
      <c r="N106" s="126"/>
      <c r="P106"/>
      <c r="Q106"/>
    </row>
    <row r="107" spans="14:17" x14ac:dyDescent="0.2">
      <c r="N107" s="126"/>
      <c r="P107"/>
      <c r="Q107"/>
    </row>
    <row r="108" spans="14:17" x14ac:dyDescent="0.2">
      <c r="N108" s="126"/>
      <c r="P108"/>
      <c r="Q108"/>
    </row>
    <row r="109" spans="14:17" x14ac:dyDescent="0.2">
      <c r="N109" s="126"/>
      <c r="P109"/>
      <c r="Q109"/>
    </row>
    <row r="110" spans="14:17" x14ac:dyDescent="0.2">
      <c r="N110" s="126"/>
      <c r="P110"/>
      <c r="Q110"/>
    </row>
    <row r="111" spans="14:17" x14ac:dyDescent="0.2">
      <c r="N111" s="126"/>
      <c r="P111"/>
      <c r="Q111"/>
    </row>
    <row r="112" spans="14:17" x14ac:dyDescent="0.2">
      <c r="N112" s="126"/>
      <c r="P112"/>
      <c r="Q112"/>
    </row>
    <row r="113" spans="14:17" x14ac:dyDescent="0.2">
      <c r="N113" s="126"/>
      <c r="P113"/>
      <c r="Q113"/>
    </row>
    <row r="114" spans="14:17" x14ac:dyDescent="0.2">
      <c r="N114" s="126"/>
      <c r="P114"/>
      <c r="Q114"/>
    </row>
    <row r="115" spans="14:17" x14ac:dyDescent="0.2">
      <c r="N115" s="126"/>
      <c r="P115"/>
      <c r="Q115"/>
    </row>
    <row r="116" spans="14:17" x14ac:dyDescent="0.2">
      <c r="N116" s="126"/>
      <c r="P116"/>
      <c r="Q116"/>
    </row>
    <row r="117" spans="14:17" x14ac:dyDescent="0.2">
      <c r="N117" s="126"/>
      <c r="P117"/>
      <c r="Q117"/>
    </row>
    <row r="118" spans="14:17" x14ac:dyDescent="0.2">
      <c r="N118" s="126"/>
      <c r="P118"/>
      <c r="Q118"/>
    </row>
    <row r="119" spans="14:17" x14ac:dyDescent="0.2">
      <c r="N119" s="126"/>
      <c r="P119"/>
      <c r="Q119"/>
    </row>
    <row r="120" spans="14:17" x14ac:dyDescent="0.2">
      <c r="N120" s="126"/>
      <c r="P120"/>
      <c r="Q120"/>
    </row>
    <row r="121" spans="14:17" x14ac:dyDescent="0.2">
      <c r="N121" s="126"/>
      <c r="P121"/>
      <c r="Q121"/>
    </row>
    <row r="122" spans="14:17" x14ac:dyDescent="0.2">
      <c r="N122" s="126"/>
      <c r="P122"/>
      <c r="Q122"/>
    </row>
    <row r="123" spans="14:17" x14ac:dyDescent="0.2">
      <c r="N123" s="126"/>
      <c r="P123"/>
    </row>
    <row r="124" spans="14:17" x14ac:dyDescent="0.2">
      <c r="N124" s="126"/>
      <c r="P124"/>
    </row>
    <row r="125" spans="14:17" x14ac:dyDescent="0.2">
      <c r="N125" s="126"/>
      <c r="P125"/>
    </row>
    <row r="126" spans="14:17" x14ac:dyDescent="0.2">
      <c r="N126" s="126"/>
      <c r="P126"/>
    </row>
    <row r="127" spans="14:17" x14ac:dyDescent="0.2">
      <c r="N127" s="126"/>
      <c r="P127"/>
    </row>
    <row r="128" spans="14:17" x14ac:dyDescent="0.2">
      <c r="N128" s="126"/>
      <c r="P128"/>
    </row>
    <row r="129" spans="14:16" x14ac:dyDescent="0.2">
      <c r="N129" s="126"/>
      <c r="P129"/>
    </row>
    <row r="130" spans="14:16" x14ac:dyDescent="0.2">
      <c r="N130" s="126"/>
      <c r="P130"/>
    </row>
    <row r="131" spans="14:16" x14ac:dyDescent="0.2">
      <c r="N131" s="126"/>
      <c r="P131"/>
    </row>
    <row r="132" spans="14:16" x14ac:dyDescent="0.2">
      <c r="N132" s="126"/>
      <c r="P132"/>
    </row>
    <row r="133" spans="14:16" x14ac:dyDescent="0.2">
      <c r="N133" s="126"/>
      <c r="P133"/>
    </row>
    <row r="134" spans="14:16" x14ac:dyDescent="0.2">
      <c r="N134" s="126"/>
      <c r="P134"/>
    </row>
    <row r="135" spans="14:16" x14ac:dyDescent="0.2">
      <c r="N135" s="126"/>
      <c r="P135"/>
    </row>
    <row r="136" spans="14:16" x14ac:dyDescent="0.2">
      <c r="N136" s="126"/>
      <c r="P136"/>
    </row>
    <row r="137" spans="14:16" x14ac:dyDescent="0.2">
      <c r="N137" s="126"/>
      <c r="P137"/>
    </row>
    <row r="138" spans="14:16" x14ac:dyDescent="0.2">
      <c r="N138" s="126"/>
      <c r="P138"/>
    </row>
    <row r="139" spans="14:16" x14ac:dyDescent="0.2">
      <c r="N139" s="126"/>
      <c r="P139"/>
    </row>
    <row r="140" spans="14:16" x14ac:dyDescent="0.2">
      <c r="N140" s="126"/>
      <c r="P140"/>
    </row>
    <row r="141" spans="14:16" x14ac:dyDescent="0.2">
      <c r="N141" s="126"/>
      <c r="P141"/>
    </row>
    <row r="142" spans="14:16" x14ac:dyDescent="0.2">
      <c r="N142" s="126"/>
      <c r="P142"/>
    </row>
    <row r="143" spans="14:16" x14ac:dyDescent="0.2">
      <c r="N143" s="126"/>
      <c r="P143"/>
    </row>
    <row r="144" spans="14:16" x14ac:dyDescent="0.2">
      <c r="N144" s="126"/>
      <c r="P144"/>
    </row>
    <row r="145" spans="14:16" x14ac:dyDescent="0.2">
      <c r="N145" s="126"/>
      <c r="P145"/>
    </row>
    <row r="146" spans="14:16" x14ac:dyDescent="0.2">
      <c r="N146" s="126"/>
      <c r="P146"/>
    </row>
    <row r="147" spans="14:16" x14ac:dyDescent="0.2">
      <c r="N147" s="126"/>
      <c r="P147"/>
    </row>
    <row r="148" spans="14:16" x14ac:dyDescent="0.2">
      <c r="N148" s="126"/>
      <c r="P148"/>
    </row>
    <row r="149" spans="14:16" x14ac:dyDescent="0.2">
      <c r="N149" s="126"/>
      <c r="P149"/>
    </row>
    <row r="150" spans="14:16" x14ac:dyDescent="0.2">
      <c r="N150" s="126"/>
      <c r="P150"/>
    </row>
    <row r="151" spans="14:16" x14ac:dyDescent="0.2">
      <c r="N151" s="126"/>
      <c r="P151"/>
    </row>
    <row r="152" spans="14:16" x14ac:dyDescent="0.2">
      <c r="N152" s="126"/>
      <c r="P152"/>
    </row>
    <row r="153" spans="14:16" x14ac:dyDescent="0.2">
      <c r="N153" s="126"/>
      <c r="P153"/>
    </row>
    <row r="154" spans="14:16" x14ac:dyDescent="0.2">
      <c r="N154" s="126"/>
      <c r="P154"/>
    </row>
    <row r="155" spans="14:16" x14ac:dyDescent="0.2">
      <c r="N155" s="126"/>
      <c r="P155"/>
    </row>
    <row r="156" spans="14:16" x14ac:dyDescent="0.2">
      <c r="N156" s="126"/>
      <c r="P156"/>
    </row>
    <row r="157" spans="14:16" x14ac:dyDescent="0.2">
      <c r="N157" s="126"/>
      <c r="P157"/>
    </row>
    <row r="158" spans="14:16" x14ac:dyDescent="0.2">
      <c r="N158" s="126"/>
      <c r="P158"/>
    </row>
    <row r="159" spans="14:16" x14ac:dyDescent="0.2">
      <c r="N159" s="126"/>
      <c r="P159"/>
    </row>
    <row r="160" spans="14:16" x14ac:dyDescent="0.2">
      <c r="N160" s="126"/>
      <c r="P160"/>
    </row>
    <row r="161" spans="14:16" x14ac:dyDescent="0.2">
      <c r="N161" s="126"/>
      <c r="P161"/>
    </row>
    <row r="162" spans="14:16" x14ac:dyDescent="0.2">
      <c r="N162" s="126"/>
      <c r="P162"/>
    </row>
    <row r="163" spans="14:16" x14ac:dyDescent="0.2">
      <c r="N163" s="126"/>
      <c r="P163"/>
    </row>
    <row r="164" spans="14:16" x14ac:dyDescent="0.2">
      <c r="N164" s="126"/>
      <c r="P164"/>
    </row>
    <row r="165" spans="14:16" x14ac:dyDescent="0.2">
      <c r="N165" s="126"/>
      <c r="P165"/>
    </row>
    <row r="166" spans="14:16" x14ac:dyDescent="0.2">
      <c r="N166" s="126"/>
      <c r="P166"/>
    </row>
    <row r="167" spans="14:16" x14ac:dyDescent="0.2">
      <c r="N167" s="126"/>
      <c r="P167"/>
    </row>
    <row r="168" spans="14:16" x14ac:dyDescent="0.2">
      <c r="N168" s="126"/>
      <c r="P168"/>
    </row>
    <row r="169" spans="14:16" x14ac:dyDescent="0.2">
      <c r="N169" s="126"/>
      <c r="P169"/>
    </row>
    <row r="170" spans="14:16" x14ac:dyDescent="0.2">
      <c r="N170" s="126"/>
      <c r="P170"/>
    </row>
    <row r="171" spans="14:16" x14ac:dyDescent="0.2">
      <c r="N171" s="126"/>
      <c r="P171"/>
    </row>
    <row r="172" spans="14:16" x14ac:dyDescent="0.2">
      <c r="N172" s="126"/>
      <c r="P172"/>
    </row>
    <row r="173" spans="14:16" x14ac:dyDescent="0.2">
      <c r="N173" s="126"/>
      <c r="P173"/>
    </row>
    <row r="174" spans="14:16" x14ac:dyDescent="0.2">
      <c r="N174" s="126"/>
      <c r="P174"/>
    </row>
    <row r="175" spans="14:16" x14ac:dyDescent="0.2">
      <c r="N175" s="126"/>
      <c r="P175"/>
    </row>
    <row r="176" spans="14:16" x14ac:dyDescent="0.2">
      <c r="N176" s="126"/>
      <c r="P176"/>
    </row>
    <row r="177" spans="14:16" x14ac:dyDescent="0.2">
      <c r="N177" s="126"/>
      <c r="P177"/>
    </row>
    <row r="178" spans="14:16" x14ac:dyDescent="0.2">
      <c r="N178" s="126"/>
      <c r="P178"/>
    </row>
    <row r="179" spans="14:16" x14ac:dyDescent="0.2">
      <c r="N179" s="126"/>
      <c r="P179"/>
    </row>
    <row r="180" spans="14:16" x14ac:dyDescent="0.2">
      <c r="N180" s="126"/>
      <c r="P180"/>
    </row>
    <row r="181" spans="14:16" x14ac:dyDescent="0.2">
      <c r="N181" s="126"/>
      <c r="P181"/>
    </row>
    <row r="182" spans="14:16" x14ac:dyDescent="0.2">
      <c r="N182" s="126"/>
      <c r="P182"/>
    </row>
    <row r="183" spans="14:16" x14ac:dyDescent="0.2">
      <c r="N183" s="126"/>
      <c r="P183"/>
    </row>
    <row r="184" spans="14:16" x14ac:dyDescent="0.2">
      <c r="N184" s="126"/>
      <c r="P184"/>
    </row>
    <row r="185" spans="14:16" x14ac:dyDescent="0.2">
      <c r="N185" s="126"/>
      <c r="P185"/>
    </row>
    <row r="186" spans="14:16" x14ac:dyDescent="0.2">
      <c r="N186" s="126"/>
      <c r="P186"/>
    </row>
    <row r="187" spans="14:16" x14ac:dyDescent="0.2">
      <c r="N187" s="126"/>
      <c r="P187"/>
    </row>
    <row r="188" spans="14:16" x14ac:dyDescent="0.2">
      <c r="N188" s="126"/>
      <c r="P188"/>
    </row>
    <row r="189" spans="14:16" x14ac:dyDescent="0.2">
      <c r="N189" s="126"/>
      <c r="P189"/>
    </row>
    <row r="190" spans="14:16" x14ac:dyDescent="0.2">
      <c r="N190" s="126"/>
      <c r="P190"/>
    </row>
    <row r="191" spans="14:16" x14ac:dyDescent="0.2">
      <c r="N191" s="126"/>
      <c r="P191"/>
    </row>
    <row r="192" spans="14:16" x14ac:dyDescent="0.2">
      <c r="N192" s="126"/>
      <c r="P192"/>
    </row>
    <row r="193" spans="14:16" x14ac:dyDescent="0.2">
      <c r="N193" s="126"/>
      <c r="P193"/>
    </row>
    <row r="194" spans="14:16" x14ac:dyDescent="0.2">
      <c r="N194" s="126"/>
      <c r="P194"/>
    </row>
    <row r="195" spans="14:16" x14ac:dyDescent="0.2">
      <c r="N195" s="126"/>
      <c r="P195"/>
    </row>
    <row r="196" spans="14:16" x14ac:dyDescent="0.2">
      <c r="N196" s="126"/>
      <c r="P196"/>
    </row>
    <row r="197" spans="14:16" x14ac:dyDescent="0.2">
      <c r="N197" s="126"/>
      <c r="P197"/>
    </row>
    <row r="198" spans="14:16" x14ac:dyDescent="0.2">
      <c r="N198" s="126"/>
      <c r="P198"/>
    </row>
    <row r="199" spans="14:16" x14ac:dyDescent="0.2">
      <c r="N199" s="126"/>
      <c r="P199"/>
    </row>
    <row r="200" spans="14:16" x14ac:dyDescent="0.2">
      <c r="N200" s="126"/>
      <c r="P200"/>
    </row>
    <row r="201" spans="14:16" x14ac:dyDescent="0.2">
      <c r="N201" s="126"/>
      <c r="P201"/>
    </row>
    <row r="202" spans="14:16" x14ac:dyDescent="0.2">
      <c r="N202" s="126"/>
      <c r="P202"/>
    </row>
    <row r="203" spans="14:16" x14ac:dyDescent="0.2">
      <c r="N203" s="126"/>
      <c r="P203"/>
    </row>
    <row r="204" spans="14:16" x14ac:dyDescent="0.2">
      <c r="N204" s="126"/>
      <c r="P204"/>
    </row>
    <row r="205" spans="14:16" x14ac:dyDescent="0.2">
      <c r="N205" s="126"/>
      <c r="P205"/>
    </row>
    <row r="206" spans="14:16" x14ac:dyDescent="0.2">
      <c r="N206" s="126"/>
      <c r="P206"/>
    </row>
    <row r="207" spans="14:16" x14ac:dyDescent="0.2">
      <c r="N207" s="126"/>
      <c r="P207"/>
    </row>
    <row r="208" spans="14:16" x14ac:dyDescent="0.2">
      <c r="N208" s="126"/>
      <c r="P208"/>
    </row>
    <row r="209" spans="14:16" x14ac:dyDescent="0.2">
      <c r="N209" s="126"/>
      <c r="P209"/>
    </row>
    <row r="210" spans="14:16" x14ac:dyDescent="0.2">
      <c r="N210" s="126"/>
      <c r="P210"/>
    </row>
    <row r="211" spans="14:16" x14ac:dyDescent="0.2">
      <c r="N211" s="126"/>
      <c r="P211"/>
    </row>
    <row r="212" spans="14:16" x14ac:dyDescent="0.2">
      <c r="N212" s="126"/>
      <c r="P212"/>
    </row>
    <row r="213" spans="14:16" x14ac:dyDescent="0.2">
      <c r="N213" s="126"/>
      <c r="P213"/>
    </row>
    <row r="214" spans="14:16" x14ac:dyDescent="0.2">
      <c r="N214" s="126"/>
      <c r="P214"/>
    </row>
    <row r="215" spans="14:16" x14ac:dyDescent="0.2">
      <c r="N215" s="126"/>
      <c r="P215"/>
    </row>
    <row r="216" spans="14:16" x14ac:dyDescent="0.2">
      <c r="N216" s="126"/>
      <c r="P216"/>
    </row>
    <row r="217" spans="14:16" x14ac:dyDescent="0.2">
      <c r="N217" s="126"/>
      <c r="P217"/>
    </row>
    <row r="218" spans="14:16" x14ac:dyDescent="0.2">
      <c r="N218" s="126"/>
      <c r="P218"/>
    </row>
    <row r="219" spans="14:16" x14ac:dyDescent="0.2">
      <c r="N219" s="126"/>
      <c r="P219"/>
    </row>
    <row r="220" spans="14:16" x14ac:dyDescent="0.2">
      <c r="N220" s="126"/>
      <c r="P220"/>
    </row>
    <row r="221" spans="14:16" x14ac:dyDescent="0.2">
      <c r="N221" s="126"/>
      <c r="P221"/>
    </row>
    <row r="222" spans="14:16" x14ac:dyDescent="0.2">
      <c r="N222" s="126"/>
      <c r="P222"/>
    </row>
    <row r="223" spans="14:16" x14ac:dyDescent="0.2">
      <c r="N223" s="126"/>
      <c r="P223"/>
    </row>
    <row r="224" spans="14:16" x14ac:dyDescent="0.2">
      <c r="N224" s="126"/>
      <c r="P224"/>
    </row>
    <row r="225" spans="14:16" x14ac:dyDescent="0.2">
      <c r="N225" s="126"/>
      <c r="P225"/>
    </row>
    <row r="226" spans="14:16" x14ac:dyDescent="0.2">
      <c r="N226" s="126"/>
      <c r="P226"/>
    </row>
    <row r="227" spans="14:16" x14ac:dyDescent="0.2">
      <c r="N227" s="126"/>
      <c r="P227"/>
    </row>
    <row r="228" spans="14:16" x14ac:dyDescent="0.2">
      <c r="N228" s="126"/>
      <c r="P228"/>
    </row>
    <row r="229" spans="14:16" x14ac:dyDescent="0.2">
      <c r="N229" s="126"/>
      <c r="P229"/>
    </row>
    <row r="230" spans="14:16" x14ac:dyDescent="0.2">
      <c r="N230" s="126"/>
      <c r="P230"/>
    </row>
    <row r="231" spans="14:16" x14ac:dyDescent="0.2">
      <c r="N231" s="126"/>
      <c r="P231"/>
    </row>
    <row r="232" spans="14:16" x14ac:dyDescent="0.2">
      <c r="N232" s="126"/>
      <c r="P232"/>
    </row>
    <row r="233" spans="14:16" x14ac:dyDescent="0.2">
      <c r="N233" s="126"/>
      <c r="P233"/>
    </row>
    <row r="234" spans="14:16" x14ac:dyDescent="0.2">
      <c r="N234" s="126"/>
      <c r="P234"/>
    </row>
    <row r="235" spans="14:16" x14ac:dyDescent="0.2">
      <c r="N235" s="126"/>
      <c r="P235"/>
    </row>
    <row r="236" spans="14:16" x14ac:dyDescent="0.2">
      <c r="N236" s="126"/>
      <c r="P236"/>
    </row>
    <row r="237" spans="14:16" x14ac:dyDescent="0.2">
      <c r="N237" s="126"/>
      <c r="P237"/>
    </row>
    <row r="238" spans="14:16" x14ac:dyDescent="0.2">
      <c r="N238" s="126"/>
      <c r="P238"/>
    </row>
    <row r="239" spans="14:16" x14ac:dyDescent="0.2">
      <c r="N239" s="126"/>
      <c r="P239"/>
    </row>
    <row r="240" spans="14:16" x14ac:dyDescent="0.2">
      <c r="N240" s="126"/>
      <c r="P240"/>
    </row>
    <row r="241" spans="14:16" x14ac:dyDescent="0.2">
      <c r="N241" s="126"/>
      <c r="P241"/>
    </row>
    <row r="242" spans="14:16" x14ac:dyDescent="0.2">
      <c r="N242" s="126"/>
      <c r="P242"/>
    </row>
    <row r="243" spans="14:16" x14ac:dyDescent="0.2">
      <c r="N243" s="126"/>
      <c r="P243"/>
    </row>
    <row r="244" spans="14:16" x14ac:dyDescent="0.2">
      <c r="N244" s="126"/>
      <c r="P244"/>
    </row>
    <row r="245" spans="14:16" x14ac:dyDescent="0.2">
      <c r="N245" s="126"/>
      <c r="P245"/>
    </row>
    <row r="246" spans="14:16" x14ac:dyDescent="0.2">
      <c r="N246" s="126"/>
      <c r="P246"/>
    </row>
    <row r="247" spans="14:16" x14ac:dyDescent="0.2">
      <c r="N247" s="126"/>
      <c r="P247"/>
    </row>
    <row r="248" spans="14:16" x14ac:dyDescent="0.2">
      <c r="N248" s="126"/>
      <c r="P248"/>
    </row>
    <row r="249" spans="14:16" x14ac:dyDescent="0.2">
      <c r="N249" s="126"/>
      <c r="P249"/>
    </row>
    <row r="250" spans="14:16" x14ac:dyDescent="0.2">
      <c r="N250" s="126"/>
      <c r="P250"/>
    </row>
    <row r="251" spans="14:16" x14ac:dyDescent="0.2">
      <c r="N251" s="126"/>
      <c r="P251"/>
    </row>
    <row r="252" spans="14:16" x14ac:dyDescent="0.2">
      <c r="N252" s="126"/>
      <c r="P252"/>
    </row>
    <row r="253" spans="14:16" x14ac:dyDescent="0.2">
      <c r="N253" s="126"/>
      <c r="P253"/>
    </row>
    <row r="254" spans="14:16" x14ac:dyDescent="0.2">
      <c r="N254" s="126"/>
      <c r="P254"/>
    </row>
    <row r="255" spans="14:16" x14ac:dyDescent="0.2">
      <c r="N255" s="126"/>
      <c r="P255"/>
    </row>
    <row r="256" spans="14:16" x14ac:dyDescent="0.2">
      <c r="N256" s="126"/>
      <c r="P256"/>
    </row>
    <row r="257" spans="14:16" x14ac:dyDescent="0.2">
      <c r="N257" s="126"/>
      <c r="P257"/>
    </row>
    <row r="258" spans="14:16" x14ac:dyDescent="0.2">
      <c r="N258" s="126"/>
      <c r="P258"/>
    </row>
    <row r="259" spans="14:16" x14ac:dyDescent="0.2">
      <c r="N259" s="126"/>
      <c r="P259"/>
    </row>
    <row r="260" spans="14:16" x14ac:dyDescent="0.2">
      <c r="N260" s="126"/>
      <c r="P260"/>
    </row>
    <row r="261" spans="14:16" x14ac:dyDescent="0.2">
      <c r="N261" s="126"/>
      <c r="P261"/>
    </row>
    <row r="262" spans="14:16" x14ac:dyDescent="0.2">
      <c r="N262" s="126"/>
      <c r="P262"/>
    </row>
    <row r="263" spans="14:16" x14ac:dyDescent="0.2">
      <c r="N263" s="126"/>
      <c r="P263"/>
    </row>
    <row r="264" spans="14:16" x14ac:dyDescent="0.2">
      <c r="N264" s="126"/>
      <c r="P264"/>
    </row>
    <row r="265" spans="14:16" x14ac:dyDescent="0.2">
      <c r="N265" s="126"/>
      <c r="P265"/>
    </row>
    <row r="266" spans="14:16" x14ac:dyDescent="0.2">
      <c r="N266" s="126"/>
      <c r="P266"/>
    </row>
    <row r="267" spans="14:16" x14ac:dyDescent="0.2">
      <c r="N267" s="126"/>
      <c r="P267"/>
    </row>
    <row r="268" spans="14:16" x14ac:dyDescent="0.2">
      <c r="N268" s="126"/>
      <c r="P268"/>
    </row>
    <row r="269" spans="14:16" x14ac:dyDescent="0.2">
      <c r="N269" s="126"/>
      <c r="P269"/>
    </row>
    <row r="270" spans="14:16" x14ac:dyDescent="0.2">
      <c r="N270" s="126"/>
      <c r="P270"/>
    </row>
    <row r="271" spans="14:16" x14ac:dyDescent="0.2">
      <c r="N271" s="126"/>
      <c r="P271"/>
    </row>
    <row r="272" spans="14:16" x14ac:dyDescent="0.2">
      <c r="N272" s="126"/>
      <c r="P272"/>
    </row>
    <row r="273" spans="14:16" x14ac:dyDescent="0.2">
      <c r="N273" s="126"/>
      <c r="P273"/>
    </row>
    <row r="274" spans="14:16" x14ac:dyDescent="0.2">
      <c r="N274" s="126"/>
      <c r="P274"/>
    </row>
    <row r="275" spans="14:16" x14ac:dyDescent="0.2">
      <c r="N275" s="126"/>
    </row>
    <row r="276" spans="14:16" x14ac:dyDescent="0.2">
      <c r="N276" s="126"/>
    </row>
    <row r="277" spans="14:16" x14ac:dyDescent="0.2">
      <c r="N277" s="126"/>
    </row>
    <row r="278" spans="14:16" x14ac:dyDescent="0.2">
      <c r="N278" s="126"/>
    </row>
    <row r="279" spans="14:16" x14ac:dyDescent="0.2">
      <c r="N279" s="126"/>
    </row>
    <row r="280" spans="14:16" x14ac:dyDescent="0.2">
      <c r="N280" s="126"/>
    </row>
    <row r="281" spans="14:16" x14ac:dyDescent="0.2">
      <c r="N281" s="126"/>
    </row>
    <row r="282" spans="14:16" x14ac:dyDescent="0.2">
      <c r="N282" s="126"/>
    </row>
    <row r="283" spans="14:16" x14ac:dyDescent="0.2">
      <c r="N283" s="126"/>
    </row>
    <row r="284" spans="14:16" x14ac:dyDescent="0.2">
      <c r="N284" s="126"/>
    </row>
    <row r="285" spans="14:16" x14ac:dyDescent="0.2">
      <c r="N285" s="126"/>
    </row>
    <row r="286" spans="14:16" x14ac:dyDescent="0.2">
      <c r="N286" s="126"/>
    </row>
    <row r="287" spans="14:16" x14ac:dyDescent="0.2">
      <c r="N287" s="126"/>
    </row>
    <row r="288" spans="14:16" x14ac:dyDescent="0.2">
      <c r="N288" s="126"/>
    </row>
    <row r="289" spans="14:14" x14ac:dyDescent="0.2">
      <c r="N289" s="126"/>
    </row>
    <row r="290" spans="14:14" x14ac:dyDescent="0.2">
      <c r="N290" s="126"/>
    </row>
    <row r="291" spans="14:14" x14ac:dyDescent="0.2">
      <c r="N291" s="126"/>
    </row>
    <row r="292" spans="14:14" x14ac:dyDescent="0.2">
      <c r="N292" s="126"/>
    </row>
    <row r="293" spans="14:14" x14ac:dyDescent="0.2">
      <c r="N293" s="126"/>
    </row>
    <row r="294" spans="14:14" x14ac:dyDescent="0.2">
      <c r="N294" s="126"/>
    </row>
    <row r="295" spans="14:14" x14ac:dyDescent="0.2">
      <c r="N295" s="126"/>
    </row>
    <row r="296" spans="14:14" x14ac:dyDescent="0.2">
      <c r="N296" s="126"/>
    </row>
    <row r="297" spans="14:14" x14ac:dyDescent="0.2">
      <c r="N297" s="126"/>
    </row>
    <row r="298" spans="14:14" x14ac:dyDescent="0.2">
      <c r="N298" s="126"/>
    </row>
    <row r="299" spans="14:14" x14ac:dyDescent="0.2">
      <c r="N299" s="126"/>
    </row>
    <row r="300" spans="14:14" x14ac:dyDescent="0.2">
      <c r="N300" s="126"/>
    </row>
    <row r="301" spans="14:14" x14ac:dyDescent="0.2">
      <c r="N301" s="126"/>
    </row>
    <row r="302" spans="14:14" x14ac:dyDescent="0.2">
      <c r="N302" s="126"/>
    </row>
  </sheetData>
  <mergeCells count="9">
    <mergeCell ref="B45:L46"/>
    <mergeCell ref="B4:B5"/>
    <mergeCell ref="B6:B7"/>
    <mergeCell ref="B8:B9"/>
    <mergeCell ref="P16:AB17"/>
    <mergeCell ref="B26:D26"/>
    <mergeCell ref="C6:I7"/>
    <mergeCell ref="C8:I9"/>
    <mergeCell ref="C4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09CE-86E4-4666-AE88-3CA7AD173425}">
  <dimension ref="B1:W302"/>
  <sheetViews>
    <sheetView tabSelected="1" topLeftCell="C1" zoomScale="145" zoomScaleNormal="145" workbookViewId="0">
      <selection activeCell="R64" sqref="R64"/>
    </sheetView>
  </sheetViews>
  <sheetFormatPr baseColWidth="10" defaultColWidth="8.6640625" defaultRowHeight="15" x14ac:dyDescent="0.2"/>
  <cols>
    <col min="1" max="1" width="2.6640625" style="2" customWidth="1"/>
    <col min="2" max="2" width="15.1640625" style="2" bestFit="1" customWidth="1"/>
    <col min="3" max="3" width="20.6640625" style="2" bestFit="1" customWidth="1"/>
    <col min="4" max="8" width="8.6640625" style="2"/>
    <col min="9" max="9" width="12.1640625" style="2" customWidth="1"/>
    <col min="10" max="10" width="8.6640625" style="2"/>
    <col min="11" max="11" width="6.33203125" style="2" customWidth="1"/>
    <col min="12" max="13" width="2.6640625" style="2" customWidth="1"/>
    <col min="14" max="14" width="12.1640625" style="2" bestFit="1" customWidth="1"/>
    <col min="15" max="15" width="19.5" style="2" bestFit="1" customWidth="1"/>
    <col min="16" max="16" width="23.33203125" style="2" bestFit="1" customWidth="1"/>
    <col min="17" max="17" width="5.1640625" style="2" bestFit="1" customWidth="1"/>
    <col min="18" max="19" width="10.33203125" style="2" bestFit="1" customWidth="1"/>
    <col min="20" max="22" width="8.6640625" style="2"/>
    <col min="23" max="23" width="12.33203125" style="2" customWidth="1"/>
    <col min="24" max="25" width="8.6640625" style="2"/>
    <col min="26" max="26" width="8.6640625" style="2" customWidth="1"/>
    <col min="27" max="27" width="12.33203125" style="2" customWidth="1"/>
    <col min="28" max="16384" width="8.6640625" style="2"/>
  </cols>
  <sheetData>
    <row r="1" spans="2:23" x14ac:dyDescent="0.2">
      <c r="L1" s="126"/>
      <c r="O1"/>
      <c r="P1"/>
      <c r="Q1"/>
    </row>
    <row r="2" spans="2:23" ht="21" x14ac:dyDescent="0.25">
      <c r="B2" s="63" t="s">
        <v>811</v>
      </c>
      <c r="C2" s="52"/>
      <c r="D2" s="52"/>
      <c r="E2" s="52"/>
      <c r="L2" s="126"/>
      <c r="O2"/>
      <c r="P2"/>
      <c r="Q2"/>
    </row>
    <row r="3" spans="2:23" ht="14.5" customHeight="1" x14ac:dyDescent="0.25">
      <c r="B3" s="82"/>
      <c r="C3" s="65"/>
      <c r="D3" s="65"/>
      <c r="E3" s="65"/>
      <c r="L3" s="126"/>
      <c r="O3"/>
      <c r="P3"/>
      <c r="Q3"/>
    </row>
    <row r="4" spans="2:23" ht="14.5" customHeight="1" x14ac:dyDescent="0.2">
      <c r="B4" s="52" t="s">
        <v>812</v>
      </c>
      <c r="J4" s="103"/>
      <c r="K4" s="103"/>
      <c r="L4" s="126"/>
      <c r="N4" s="52" t="s">
        <v>846</v>
      </c>
      <c r="O4"/>
      <c r="P4"/>
    </row>
    <row r="5" spans="2:23" ht="14.5" customHeight="1" x14ac:dyDescent="0.2">
      <c r="B5" s="2" t="s">
        <v>813</v>
      </c>
      <c r="L5" s="126"/>
      <c r="O5"/>
      <c r="P5"/>
    </row>
    <row r="6" spans="2:23" x14ac:dyDescent="0.2">
      <c r="B6" s="52" t="s">
        <v>814</v>
      </c>
      <c r="L6" s="126"/>
      <c r="N6" s="2" t="s">
        <v>847</v>
      </c>
      <c r="O6"/>
      <c r="P6"/>
    </row>
    <row r="7" spans="2:23" ht="14.5" customHeight="1" x14ac:dyDescent="0.2">
      <c r="B7" s="2" t="s">
        <v>815</v>
      </c>
      <c r="L7" s="126"/>
      <c r="O7"/>
      <c r="P7"/>
    </row>
    <row r="8" spans="2:23" ht="14.5" customHeight="1" x14ac:dyDescent="0.2">
      <c r="B8" s="2" t="s">
        <v>816</v>
      </c>
      <c r="L8" s="126"/>
      <c r="N8" s="317" t="s">
        <v>848</v>
      </c>
      <c r="O8" s="317"/>
      <c r="P8" s="317"/>
      <c r="Q8" s="317"/>
      <c r="R8" s="317"/>
      <c r="S8" s="317"/>
      <c r="T8" s="317"/>
      <c r="U8" s="317"/>
      <c r="V8" s="317"/>
      <c r="W8" s="317"/>
    </row>
    <row r="9" spans="2:23" x14ac:dyDescent="0.2">
      <c r="B9" s="52"/>
      <c r="L9" s="126"/>
      <c r="N9" s="317"/>
      <c r="O9" s="317"/>
      <c r="P9" s="317"/>
      <c r="Q9" s="317"/>
      <c r="R9" s="317"/>
      <c r="S9" s="317"/>
      <c r="T9" s="317"/>
      <c r="U9" s="317"/>
      <c r="V9" s="317"/>
      <c r="W9" s="317"/>
    </row>
    <row r="10" spans="2:23" ht="14.5" customHeight="1" x14ac:dyDescent="0.2">
      <c r="B10" s="5" t="s">
        <v>819</v>
      </c>
      <c r="L10" s="126"/>
      <c r="O10"/>
    </row>
    <row r="11" spans="2:23" x14ac:dyDescent="0.2">
      <c r="B11" s="2" t="s">
        <v>817</v>
      </c>
      <c r="L11" s="126"/>
      <c r="N11" s="376" t="s">
        <v>900</v>
      </c>
      <c r="O11"/>
    </row>
    <row r="12" spans="2:23" x14ac:dyDescent="0.2">
      <c r="B12" s="2" t="s">
        <v>818</v>
      </c>
      <c r="L12" s="126"/>
      <c r="N12" s="367" t="s">
        <v>871</v>
      </c>
      <c r="O12" t="s">
        <v>873</v>
      </c>
      <c r="P12" t="s">
        <v>901</v>
      </c>
    </row>
    <row r="13" spans="2:23" x14ac:dyDescent="0.2">
      <c r="B13" s="2" t="s">
        <v>820</v>
      </c>
      <c r="L13" s="126"/>
      <c r="N13" s="368" t="s">
        <v>283</v>
      </c>
      <c r="O13" s="369">
        <v>252190</v>
      </c>
      <c r="P13" s="369">
        <v>2017.52</v>
      </c>
    </row>
    <row r="14" spans="2:23" x14ac:dyDescent="0.2">
      <c r="B14" s="2" t="s">
        <v>821</v>
      </c>
      <c r="L14" s="126"/>
      <c r="N14" s="368" t="s">
        <v>294</v>
      </c>
      <c r="O14" s="369">
        <v>223610</v>
      </c>
      <c r="P14" s="369">
        <v>1788.88</v>
      </c>
    </row>
    <row r="15" spans="2:23" x14ac:dyDescent="0.2">
      <c r="L15" s="126"/>
      <c r="N15" s="368" t="s">
        <v>282</v>
      </c>
      <c r="O15" s="369">
        <v>271780</v>
      </c>
      <c r="P15" s="369">
        <v>2174.2399999999998</v>
      </c>
    </row>
    <row r="16" spans="2:23" x14ac:dyDescent="0.2">
      <c r="B16"/>
      <c r="C16"/>
      <c r="D16"/>
      <c r="L16" s="126"/>
      <c r="N16" s="368" t="s">
        <v>281</v>
      </c>
      <c r="O16" s="369">
        <v>203200</v>
      </c>
      <c r="P16" s="369">
        <v>1625.6</v>
      </c>
    </row>
    <row r="17" spans="2:16" x14ac:dyDescent="0.2">
      <c r="B17"/>
      <c r="C17"/>
      <c r="D17"/>
      <c r="L17" s="126"/>
      <c r="N17" s="368" t="s">
        <v>872</v>
      </c>
      <c r="O17" s="369">
        <v>950780</v>
      </c>
      <c r="P17" s="369">
        <v>1901.56</v>
      </c>
    </row>
    <row r="18" spans="2:16" x14ac:dyDescent="0.2">
      <c r="B18"/>
      <c r="C18"/>
      <c r="D18"/>
      <c r="L18" s="126"/>
      <c r="N18"/>
      <c r="O18"/>
      <c r="P18"/>
    </row>
    <row r="19" spans="2:16" x14ac:dyDescent="0.2">
      <c r="B19"/>
      <c r="C19"/>
      <c r="D19"/>
      <c r="L19" s="126"/>
      <c r="N19"/>
      <c r="O19"/>
      <c r="P19"/>
    </row>
    <row r="20" spans="2:16" x14ac:dyDescent="0.2">
      <c r="B20"/>
      <c r="C20"/>
      <c r="D20"/>
      <c r="L20" s="126"/>
      <c r="N20"/>
      <c r="O20"/>
      <c r="P20"/>
    </row>
    <row r="21" spans="2:16" x14ac:dyDescent="0.2">
      <c r="B21"/>
      <c r="C21"/>
      <c r="D21"/>
      <c r="L21" s="126"/>
      <c r="N21"/>
      <c r="O21"/>
      <c r="P21"/>
    </row>
    <row r="22" spans="2:16" x14ac:dyDescent="0.2">
      <c r="B22"/>
      <c r="C22"/>
      <c r="D22"/>
      <c r="L22" s="126"/>
      <c r="N22"/>
      <c r="O22"/>
      <c r="P22"/>
    </row>
    <row r="23" spans="2:16" x14ac:dyDescent="0.2">
      <c r="B23"/>
      <c r="C23"/>
      <c r="D23"/>
      <c r="L23" s="126"/>
      <c r="N23"/>
      <c r="O23"/>
      <c r="P23"/>
    </row>
    <row r="24" spans="2:16" x14ac:dyDescent="0.2">
      <c r="B24"/>
      <c r="C24"/>
      <c r="D24"/>
      <c r="L24" s="126"/>
      <c r="N24"/>
      <c r="O24"/>
      <c r="P24"/>
    </row>
    <row r="25" spans="2:16" x14ac:dyDescent="0.2">
      <c r="B25"/>
      <c r="C25"/>
      <c r="D25"/>
      <c r="L25" s="126"/>
      <c r="N25"/>
      <c r="O25"/>
      <c r="P25"/>
    </row>
    <row r="26" spans="2:16" x14ac:dyDescent="0.2">
      <c r="B26"/>
      <c r="C26"/>
      <c r="D26"/>
      <c r="L26" s="126"/>
      <c r="N26"/>
      <c r="O26"/>
      <c r="P26"/>
    </row>
    <row r="27" spans="2:16" x14ac:dyDescent="0.2">
      <c r="B27"/>
      <c r="C27"/>
      <c r="D27"/>
      <c r="L27" s="126"/>
      <c r="N27"/>
      <c r="O27"/>
      <c r="P27"/>
    </row>
    <row r="28" spans="2:16" x14ac:dyDescent="0.2">
      <c r="B28"/>
      <c r="C28"/>
      <c r="D28"/>
      <c r="L28" s="126"/>
      <c r="N28"/>
      <c r="O28"/>
      <c r="P28"/>
    </row>
    <row r="29" spans="2:16" x14ac:dyDescent="0.2">
      <c r="B29"/>
      <c r="C29"/>
      <c r="D29"/>
      <c r="L29" s="126"/>
      <c r="N29"/>
      <c r="O29"/>
      <c r="P29"/>
    </row>
    <row r="30" spans="2:16" x14ac:dyDescent="0.2">
      <c r="B30"/>
      <c r="C30"/>
      <c r="D30"/>
      <c r="L30" s="126"/>
      <c r="O30"/>
    </row>
    <row r="31" spans="2:16" x14ac:dyDescent="0.2">
      <c r="B31"/>
      <c r="C31"/>
      <c r="D31"/>
      <c r="L31" s="126"/>
      <c r="O31"/>
    </row>
    <row r="32" spans="2:16" x14ac:dyDescent="0.2">
      <c r="B32"/>
      <c r="C32"/>
      <c r="D32"/>
      <c r="L32" s="126"/>
      <c r="O32"/>
    </row>
    <row r="33" spans="2:15" x14ac:dyDescent="0.2">
      <c r="B33"/>
      <c r="C33"/>
      <c r="D33"/>
      <c r="L33" s="126"/>
      <c r="O33"/>
    </row>
    <row r="34" spans="2:15" x14ac:dyDescent="0.2">
      <c r="B34"/>
      <c r="C34"/>
      <c r="D34"/>
      <c r="L34" s="126"/>
      <c r="O34"/>
    </row>
    <row r="35" spans="2:15" x14ac:dyDescent="0.2">
      <c r="B35"/>
      <c r="C35"/>
      <c r="D35"/>
      <c r="L35" s="126"/>
      <c r="N35" s="376" t="s">
        <v>902</v>
      </c>
      <c r="O35"/>
    </row>
    <row r="36" spans="2:15" ht="14.5" customHeight="1" x14ac:dyDescent="0.2">
      <c r="B36"/>
      <c r="C36"/>
      <c r="D36"/>
      <c r="J36" s="138"/>
      <c r="K36" s="138"/>
      <c r="L36" s="126"/>
      <c r="O36"/>
    </row>
    <row r="37" spans="2:15" x14ac:dyDescent="0.2">
      <c r="B37"/>
      <c r="C37"/>
      <c r="D37"/>
      <c r="J37" s="138"/>
      <c r="K37" s="138"/>
      <c r="L37" s="126"/>
      <c r="O37"/>
    </row>
    <row r="38" spans="2:15" x14ac:dyDescent="0.2">
      <c r="B38"/>
      <c r="C38"/>
      <c r="D38"/>
      <c r="L38" s="126"/>
      <c r="O38"/>
    </row>
    <row r="39" spans="2:15" x14ac:dyDescent="0.2">
      <c r="B39"/>
      <c r="C39"/>
      <c r="D39"/>
      <c r="L39" s="126"/>
      <c r="O39"/>
    </row>
    <row r="40" spans="2:15" x14ac:dyDescent="0.2">
      <c r="B40"/>
      <c r="C40"/>
      <c r="D40"/>
      <c r="L40" s="126"/>
      <c r="O40"/>
    </row>
    <row r="41" spans="2:15" x14ac:dyDescent="0.2">
      <c r="B41"/>
      <c r="C41"/>
      <c r="D41"/>
      <c r="L41" s="126"/>
      <c r="O41"/>
    </row>
    <row r="42" spans="2:15" x14ac:dyDescent="0.2">
      <c r="B42"/>
      <c r="C42"/>
      <c r="D42"/>
      <c r="L42" s="126"/>
      <c r="O42"/>
    </row>
    <row r="43" spans="2:15" x14ac:dyDescent="0.2">
      <c r="B43"/>
      <c r="C43"/>
      <c r="D43"/>
      <c r="L43" s="126"/>
      <c r="O43"/>
    </row>
    <row r="44" spans="2:15" x14ac:dyDescent="0.2">
      <c r="B44"/>
      <c r="C44"/>
      <c r="D44"/>
      <c r="L44" s="126"/>
      <c r="O44"/>
    </row>
    <row r="45" spans="2:15" x14ac:dyDescent="0.2">
      <c r="B45"/>
      <c r="C45"/>
      <c r="D45"/>
      <c r="L45" s="126"/>
      <c r="O45"/>
    </row>
    <row r="46" spans="2:15" x14ac:dyDescent="0.2">
      <c r="B46"/>
      <c r="C46"/>
      <c r="D46"/>
      <c r="L46" s="126"/>
      <c r="O46"/>
    </row>
    <row r="47" spans="2:15" x14ac:dyDescent="0.2">
      <c r="B47"/>
      <c r="C47"/>
      <c r="D47"/>
      <c r="L47" s="126"/>
      <c r="O47"/>
    </row>
    <row r="48" spans="2:15" x14ac:dyDescent="0.2">
      <c r="B48"/>
      <c r="C48"/>
      <c r="D48"/>
      <c r="L48" s="126"/>
      <c r="O48"/>
    </row>
    <row r="49" spans="2:16" x14ac:dyDescent="0.2">
      <c r="B49"/>
      <c r="C49"/>
      <c r="D49"/>
      <c r="L49" s="126"/>
      <c r="O49"/>
    </row>
    <row r="50" spans="2:16" x14ac:dyDescent="0.2">
      <c r="B50"/>
      <c r="C50"/>
      <c r="D50"/>
      <c r="L50" s="126"/>
      <c r="O50"/>
    </row>
    <row r="51" spans="2:16" x14ac:dyDescent="0.2">
      <c r="L51" s="126"/>
      <c r="O51"/>
    </row>
    <row r="52" spans="2:16" x14ac:dyDescent="0.2">
      <c r="L52" s="126"/>
      <c r="N52" s="376" t="s">
        <v>903</v>
      </c>
      <c r="O52"/>
    </row>
    <row r="53" spans="2:16" x14ac:dyDescent="0.2">
      <c r="L53" s="126"/>
      <c r="N53"/>
      <c r="O53"/>
      <c r="P53"/>
    </row>
    <row r="54" spans="2:16" x14ac:dyDescent="0.2">
      <c r="L54" s="126"/>
      <c r="N54"/>
      <c r="O54"/>
      <c r="P54"/>
    </row>
    <row r="55" spans="2:16" x14ac:dyDescent="0.2">
      <c r="L55" s="126"/>
      <c r="N55"/>
      <c r="O55"/>
      <c r="P55"/>
    </row>
    <row r="56" spans="2:16" x14ac:dyDescent="0.2">
      <c r="L56" s="126"/>
      <c r="N56"/>
      <c r="O56"/>
      <c r="P56"/>
    </row>
    <row r="57" spans="2:16" x14ac:dyDescent="0.2">
      <c r="L57" s="126"/>
      <c r="N57"/>
      <c r="O57"/>
      <c r="P57"/>
    </row>
    <row r="58" spans="2:16" x14ac:dyDescent="0.2">
      <c r="L58" s="126"/>
      <c r="N58"/>
      <c r="O58"/>
      <c r="P58"/>
    </row>
    <row r="59" spans="2:16" x14ac:dyDescent="0.2">
      <c r="L59" s="126"/>
      <c r="N59"/>
      <c r="O59"/>
      <c r="P59"/>
    </row>
    <row r="60" spans="2:16" x14ac:dyDescent="0.2">
      <c r="L60" s="126"/>
      <c r="N60"/>
      <c r="O60"/>
      <c r="P60"/>
    </row>
    <row r="61" spans="2:16" x14ac:dyDescent="0.2">
      <c r="L61" s="126"/>
      <c r="N61"/>
      <c r="O61"/>
      <c r="P61"/>
    </row>
    <row r="62" spans="2:16" x14ac:dyDescent="0.2">
      <c r="L62" s="126"/>
      <c r="N62"/>
      <c r="O62"/>
      <c r="P62"/>
    </row>
    <row r="63" spans="2:16" x14ac:dyDescent="0.2">
      <c r="L63" s="126"/>
      <c r="N63"/>
      <c r="O63"/>
      <c r="P63"/>
    </row>
    <row r="64" spans="2:16" x14ac:dyDescent="0.2">
      <c r="L64" s="126"/>
      <c r="N64"/>
      <c r="O64"/>
      <c r="P64"/>
    </row>
    <row r="65" spans="12:16" x14ac:dyDescent="0.2">
      <c r="L65" s="126"/>
      <c r="N65"/>
      <c r="O65"/>
      <c r="P65"/>
    </row>
    <row r="66" spans="12:16" x14ac:dyDescent="0.2">
      <c r="L66" s="126"/>
      <c r="N66"/>
      <c r="O66"/>
      <c r="P66"/>
    </row>
    <row r="67" spans="12:16" x14ac:dyDescent="0.2">
      <c r="L67" s="126"/>
      <c r="N67"/>
      <c r="O67"/>
      <c r="P67"/>
    </row>
    <row r="68" spans="12:16" x14ac:dyDescent="0.2">
      <c r="L68" s="126"/>
      <c r="N68"/>
      <c r="O68"/>
      <c r="P68"/>
    </row>
    <row r="69" spans="12:16" x14ac:dyDescent="0.2">
      <c r="L69" s="126"/>
      <c r="N69"/>
      <c r="O69"/>
      <c r="P69"/>
    </row>
    <row r="70" spans="12:16" x14ac:dyDescent="0.2">
      <c r="L70" s="126"/>
      <c r="N70"/>
      <c r="O70"/>
      <c r="P70"/>
    </row>
    <row r="71" spans="12:16" x14ac:dyDescent="0.2">
      <c r="L71" s="126"/>
      <c r="O71"/>
    </row>
    <row r="72" spans="12:16" x14ac:dyDescent="0.2">
      <c r="L72" s="126"/>
      <c r="O72"/>
    </row>
    <row r="73" spans="12:16" x14ac:dyDescent="0.2">
      <c r="L73" s="126"/>
      <c r="O73"/>
    </row>
    <row r="74" spans="12:16" x14ac:dyDescent="0.2">
      <c r="L74" s="126"/>
      <c r="O74"/>
    </row>
    <row r="75" spans="12:16" x14ac:dyDescent="0.2">
      <c r="L75" s="126"/>
      <c r="O75"/>
    </row>
    <row r="76" spans="12:16" x14ac:dyDescent="0.2">
      <c r="L76" s="126"/>
      <c r="O76"/>
    </row>
    <row r="77" spans="12:16" x14ac:dyDescent="0.2">
      <c r="L77" s="126"/>
      <c r="O77"/>
    </row>
    <row r="78" spans="12:16" x14ac:dyDescent="0.2">
      <c r="L78" s="126"/>
      <c r="O78"/>
    </row>
    <row r="79" spans="12:16" x14ac:dyDescent="0.2">
      <c r="L79" s="126"/>
      <c r="O79"/>
    </row>
    <row r="80" spans="12:16" x14ac:dyDescent="0.2">
      <c r="L80" s="126"/>
      <c r="O80"/>
    </row>
    <row r="81" spans="12:15" x14ac:dyDescent="0.2">
      <c r="L81" s="126"/>
      <c r="O81"/>
    </row>
    <row r="82" spans="12:15" x14ac:dyDescent="0.2">
      <c r="L82" s="126"/>
      <c r="O82"/>
    </row>
    <row r="83" spans="12:15" x14ac:dyDescent="0.2">
      <c r="L83" s="126"/>
      <c r="O83"/>
    </row>
    <row r="84" spans="12:15" x14ac:dyDescent="0.2">
      <c r="L84" s="126"/>
      <c r="O84"/>
    </row>
    <row r="85" spans="12:15" x14ac:dyDescent="0.2">
      <c r="L85" s="126"/>
      <c r="O85"/>
    </row>
    <row r="86" spans="12:15" x14ac:dyDescent="0.2">
      <c r="L86" s="126"/>
      <c r="O86"/>
    </row>
    <row r="87" spans="12:15" x14ac:dyDescent="0.2">
      <c r="L87" s="126"/>
      <c r="O87"/>
    </row>
    <row r="88" spans="12:15" x14ac:dyDescent="0.2">
      <c r="L88" s="126"/>
      <c r="O88"/>
    </row>
    <row r="89" spans="12:15" x14ac:dyDescent="0.2">
      <c r="L89" s="126"/>
      <c r="O89"/>
    </row>
    <row r="90" spans="12:15" x14ac:dyDescent="0.2">
      <c r="L90" s="126"/>
      <c r="O90"/>
    </row>
    <row r="91" spans="12:15" x14ac:dyDescent="0.2">
      <c r="L91" s="126"/>
      <c r="O91"/>
    </row>
    <row r="92" spans="12:15" x14ac:dyDescent="0.2">
      <c r="L92" s="126"/>
      <c r="O92"/>
    </row>
    <row r="93" spans="12:15" x14ac:dyDescent="0.2">
      <c r="L93" s="126"/>
      <c r="O93"/>
    </row>
    <row r="94" spans="12:15" x14ac:dyDescent="0.2">
      <c r="L94" s="126"/>
      <c r="O94"/>
    </row>
    <row r="95" spans="12:15" x14ac:dyDescent="0.2">
      <c r="L95" s="126"/>
      <c r="O95"/>
    </row>
    <row r="96" spans="12:15" x14ac:dyDescent="0.2">
      <c r="L96" s="126"/>
      <c r="O96"/>
    </row>
    <row r="97" spans="12:15" x14ac:dyDescent="0.2">
      <c r="L97" s="126"/>
      <c r="O97"/>
    </row>
    <row r="98" spans="12:15" x14ac:dyDescent="0.2">
      <c r="L98" s="126"/>
      <c r="O98"/>
    </row>
    <row r="99" spans="12:15" x14ac:dyDescent="0.2">
      <c r="L99" s="126"/>
      <c r="O99"/>
    </row>
    <row r="100" spans="12:15" x14ac:dyDescent="0.2">
      <c r="L100" s="126"/>
      <c r="O100"/>
    </row>
    <row r="101" spans="12:15" x14ac:dyDescent="0.2">
      <c r="L101" s="126"/>
      <c r="O101"/>
    </row>
    <row r="102" spans="12:15" x14ac:dyDescent="0.2">
      <c r="L102" s="126"/>
      <c r="O102"/>
    </row>
    <row r="103" spans="12:15" x14ac:dyDescent="0.2">
      <c r="L103" s="126"/>
      <c r="O103"/>
    </row>
    <row r="104" spans="12:15" x14ac:dyDescent="0.2">
      <c r="L104" s="126"/>
      <c r="O104"/>
    </row>
    <row r="105" spans="12:15" x14ac:dyDescent="0.2">
      <c r="L105" s="126"/>
      <c r="O105"/>
    </row>
    <row r="106" spans="12:15" x14ac:dyDescent="0.2">
      <c r="L106" s="126"/>
      <c r="O106"/>
    </row>
    <row r="107" spans="12:15" x14ac:dyDescent="0.2">
      <c r="L107" s="126"/>
      <c r="O107"/>
    </row>
    <row r="108" spans="12:15" x14ac:dyDescent="0.2">
      <c r="L108" s="126"/>
      <c r="O108"/>
    </row>
    <row r="109" spans="12:15" x14ac:dyDescent="0.2">
      <c r="L109" s="126"/>
      <c r="O109"/>
    </row>
    <row r="110" spans="12:15" x14ac:dyDescent="0.2">
      <c r="L110" s="126"/>
      <c r="O110"/>
    </row>
    <row r="111" spans="12:15" x14ac:dyDescent="0.2">
      <c r="L111" s="126"/>
      <c r="O111"/>
    </row>
    <row r="112" spans="12:15" x14ac:dyDescent="0.2">
      <c r="L112" s="126"/>
      <c r="O112"/>
    </row>
    <row r="113" spans="12:15" x14ac:dyDescent="0.2">
      <c r="L113" s="126"/>
      <c r="O113"/>
    </row>
    <row r="114" spans="12:15" x14ac:dyDescent="0.2">
      <c r="L114" s="126"/>
      <c r="O114"/>
    </row>
    <row r="115" spans="12:15" x14ac:dyDescent="0.2">
      <c r="L115" s="126"/>
      <c r="O115"/>
    </row>
    <row r="116" spans="12:15" x14ac:dyDescent="0.2">
      <c r="L116" s="126"/>
      <c r="O116"/>
    </row>
    <row r="117" spans="12:15" x14ac:dyDescent="0.2">
      <c r="L117" s="126"/>
      <c r="O117"/>
    </row>
    <row r="118" spans="12:15" x14ac:dyDescent="0.2">
      <c r="L118" s="126"/>
      <c r="O118"/>
    </row>
    <row r="119" spans="12:15" x14ac:dyDescent="0.2">
      <c r="L119" s="126"/>
      <c r="O119"/>
    </row>
    <row r="120" spans="12:15" x14ac:dyDescent="0.2">
      <c r="L120" s="126"/>
      <c r="O120"/>
    </row>
    <row r="121" spans="12:15" x14ac:dyDescent="0.2">
      <c r="L121" s="126"/>
      <c r="O121"/>
    </row>
    <row r="122" spans="12:15" x14ac:dyDescent="0.2">
      <c r="L122" s="126"/>
      <c r="O122"/>
    </row>
    <row r="123" spans="12:15" x14ac:dyDescent="0.2">
      <c r="L123" s="126"/>
      <c r="O123"/>
    </row>
    <row r="124" spans="12:15" x14ac:dyDescent="0.2">
      <c r="L124" s="126"/>
      <c r="O124"/>
    </row>
    <row r="125" spans="12:15" x14ac:dyDescent="0.2">
      <c r="L125" s="126"/>
      <c r="O125"/>
    </row>
    <row r="126" spans="12:15" x14ac:dyDescent="0.2">
      <c r="L126" s="126"/>
      <c r="O126"/>
    </row>
    <row r="127" spans="12:15" x14ac:dyDescent="0.2">
      <c r="L127" s="126"/>
      <c r="O127"/>
    </row>
    <row r="128" spans="12:15" x14ac:dyDescent="0.2">
      <c r="L128" s="126"/>
      <c r="O128"/>
    </row>
    <row r="129" spans="12:15" x14ac:dyDescent="0.2">
      <c r="L129" s="126"/>
      <c r="O129"/>
    </row>
    <row r="130" spans="12:15" x14ac:dyDescent="0.2">
      <c r="L130" s="126"/>
      <c r="O130"/>
    </row>
    <row r="131" spans="12:15" x14ac:dyDescent="0.2">
      <c r="L131" s="126"/>
      <c r="O131"/>
    </row>
    <row r="132" spans="12:15" x14ac:dyDescent="0.2">
      <c r="L132" s="126"/>
      <c r="O132"/>
    </row>
    <row r="133" spans="12:15" x14ac:dyDescent="0.2">
      <c r="L133" s="126"/>
      <c r="O133"/>
    </row>
    <row r="134" spans="12:15" x14ac:dyDescent="0.2">
      <c r="L134" s="126"/>
      <c r="O134"/>
    </row>
    <row r="135" spans="12:15" x14ac:dyDescent="0.2">
      <c r="L135" s="126"/>
      <c r="O135"/>
    </row>
    <row r="136" spans="12:15" x14ac:dyDescent="0.2">
      <c r="L136" s="126"/>
      <c r="O136"/>
    </row>
    <row r="137" spans="12:15" x14ac:dyDescent="0.2">
      <c r="L137" s="126"/>
      <c r="O137"/>
    </row>
    <row r="138" spans="12:15" x14ac:dyDescent="0.2">
      <c r="L138" s="126"/>
      <c r="O138"/>
    </row>
    <row r="139" spans="12:15" x14ac:dyDescent="0.2">
      <c r="L139" s="126"/>
      <c r="O139"/>
    </row>
    <row r="140" spans="12:15" x14ac:dyDescent="0.2">
      <c r="L140" s="126"/>
      <c r="O140"/>
    </row>
    <row r="141" spans="12:15" x14ac:dyDescent="0.2">
      <c r="L141" s="126"/>
      <c r="O141"/>
    </row>
    <row r="142" spans="12:15" x14ac:dyDescent="0.2">
      <c r="L142" s="126"/>
      <c r="O142"/>
    </row>
    <row r="143" spans="12:15" x14ac:dyDescent="0.2">
      <c r="L143" s="126"/>
      <c r="O143"/>
    </row>
    <row r="144" spans="12:15" x14ac:dyDescent="0.2">
      <c r="L144" s="126"/>
      <c r="O144"/>
    </row>
    <row r="145" spans="12:15" x14ac:dyDescent="0.2">
      <c r="L145" s="126"/>
      <c r="O145"/>
    </row>
    <row r="146" spans="12:15" x14ac:dyDescent="0.2">
      <c r="L146" s="126"/>
      <c r="O146"/>
    </row>
    <row r="147" spans="12:15" x14ac:dyDescent="0.2">
      <c r="L147" s="126"/>
      <c r="O147"/>
    </row>
    <row r="148" spans="12:15" x14ac:dyDescent="0.2">
      <c r="L148" s="126"/>
      <c r="O148"/>
    </row>
    <row r="149" spans="12:15" x14ac:dyDescent="0.2">
      <c r="L149" s="126"/>
      <c r="O149"/>
    </row>
    <row r="150" spans="12:15" x14ac:dyDescent="0.2">
      <c r="L150" s="126"/>
      <c r="O150"/>
    </row>
    <row r="151" spans="12:15" x14ac:dyDescent="0.2">
      <c r="L151" s="126"/>
      <c r="O151"/>
    </row>
    <row r="152" spans="12:15" x14ac:dyDescent="0.2">
      <c r="L152" s="126"/>
      <c r="O152"/>
    </row>
    <row r="153" spans="12:15" x14ac:dyDescent="0.2">
      <c r="L153" s="126"/>
      <c r="O153"/>
    </row>
    <row r="154" spans="12:15" x14ac:dyDescent="0.2">
      <c r="L154" s="126"/>
      <c r="O154"/>
    </row>
    <row r="155" spans="12:15" x14ac:dyDescent="0.2">
      <c r="L155" s="126"/>
      <c r="O155"/>
    </row>
    <row r="156" spans="12:15" x14ac:dyDescent="0.2">
      <c r="L156" s="126"/>
      <c r="O156"/>
    </row>
    <row r="157" spans="12:15" x14ac:dyDescent="0.2">
      <c r="L157" s="126"/>
      <c r="O157"/>
    </row>
    <row r="158" spans="12:15" x14ac:dyDescent="0.2">
      <c r="L158" s="126"/>
      <c r="O158"/>
    </row>
    <row r="159" spans="12:15" x14ac:dyDescent="0.2">
      <c r="L159" s="126"/>
      <c r="O159"/>
    </row>
    <row r="160" spans="12:15" x14ac:dyDescent="0.2">
      <c r="L160" s="126"/>
      <c r="O160"/>
    </row>
    <row r="161" spans="12:15" x14ac:dyDescent="0.2">
      <c r="L161" s="126"/>
      <c r="O161"/>
    </row>
    <row r="162" spans="12:15" x14ac:dyDescent="0.2">
      <c r="L162" s="126"/>
      <c r="O162"/>
    </row>
    <row r="163" spans="12:15" x14ac:dyDescent="0.2">
      <c r="L163" s="126"/>
      <c r="O163"/>
    </row>
    <row r="164" spans="12:15" x14ac:dyDescent="0.2">
      <c r="L164" s="126"/>
      <c r="O164"/>
    </row>
    <row r="165" spans="12:15" x14ac:dyDescent="0.2">
      <c r="L165" s="126"/>
      <c r="O165"/>
    </row>
    <row r="166" spans="12:15" x14ac:dyDescent="0.2">
      <c r="L166" s="126"/>
      <c r="O166"/>
    </row>
    <row r="167" spans="12:15" x14ac:dyDescent="0.2">
      <c r="L167" s="126"/>
      <c r="O167"/>
    </row>
    <row r="168" spans="12:15" x14ac:dyDescent="0.2">
      <c r="L168" s="126"/>
      <c r="O168"/>
    </row>
    <row r="169" spans="12:15" x14ac:dyDescent="0.2">
      <c r="L169" s="126"/>
      <c r="O169"/>
    </row>
    <row r="170" spans="12:15" x14ac:dyDescent="0.2">
      <c r="L170" s="126"/>
      <c r="O170"/>
    </row>
    <row r="171" spans="12:15" x14ac:dyDescent="0.2">
      <c r="L171" s="126"/>
      <c r="O171"/>
    </row>
    <row r="172" spans="12:15" x14ac:dyDescent="0.2">
      <c r="L172" s="126"/>
      <c r="O172"/>
    </row>
    <row r="173" spans="12:15" x14ac:dyDescent="0.2">
      <c r="L173" s="126"/>
      <c r="O173"/>
    </row>
    <row r="174" spans="12:15" x14ac:dyDescent="0.2">
      <c r="L174" s="126"/>
      <c r="O174"/>
    </row>
    <row r="175" spans="12:15" x14ac:dyDescent="0.2">
      <c r="L175" s="126"/>
      <c r="O175"/>
    </row>
    <row r="176" spans="12:15" x14ac:dyDescent="0.2">
      <c r="L176" s="126"/>
      <c r="O176"/>
    </row>
    <row r="177" spans="12:15" x14ac:dyDescent="0.2">
      <c r="L177" s="126"/>
      <c r="O177"/>
    </row>
    <row r="178" spans="12:15" x14ac:dyDescent="0.2">
      <c r="L178" s="126"/>
      <c r="O178"/>
    </row>
    <row r="179" spans="12:15" x14ac:dyDescent="0.2">
      <c r="L179" s="126"/>
      <c r="O179"/>
    </row>
    <row r="180" spans="12:15" x14ac:dyDescent="0.2">
      <c r="L180" s="126"/>
      <c r="O180"/>
    </row>
    <row r="181" spans="12:15" x14ac:dyDescent="0.2">
      <c r="L181" s="126"/>
      <c r="O181"/>
    </row>
    <row r="182" spans="12:15" x14ac:dyDescent="0.2">
      <c r="L182" s="126"/>
      <c r="O182"/>
    </row>
    <row r="183" spans="12:15" x14ac:dyDescent="0.2">
      <c r="L183" s="126"/>
      <c r="O183"/>
    </row>
    <row r="184" spans="12:15" x14ac:dyDescent="0.2">
      <c r="L184" s="126"/>
      <c r="O184"/>
    </row>
    <row r="185" spans="12:15" x14ac:dyDescent="0.2">
      <c r="L185" s="126"/>
      <c r="O185"/>
    </row>
    <row r="186" spans="12:15" x14ac:dyDescent="0.2">
      <c r="L186" s="126"/>
      <c r="O186"/>
    </row>
    <row r="187" spans="12:15" x14ac:dyDescent="0.2">
      <c r="L187" s="126"/>
      <c r="O187"/>
    </row>
    <row r="188" spans="12:15" x14ac:dyDescent="0.2">
      <c r="L188" s="126"/>
      <c r="O188"/>
    </row>
    <row r="189" spans="12:15" x14ac:dyDescent="0.2">
      <c r="L189" s="126"/>
      <c r="O189"/>
    </row>
    <row r="190" spans="12:15" x14ac:dyDescent="0.2">
      <c r="L190" s="126"/>
      <c r="O190"/>
    </row>
    <row r="191" spans="12:15" x14ac:dyDescent="0.2">
      <c r="L191" s="126"/>
      <c r="O191"/>
    </row>
    <row r="192" spans="12:15" x14ac:dyDescent="0.2">
      <c r="L192" s="126"/>
      <c r="O192"/>
    </row>
    <row r="193" spans="12:15" x14ac:dyDescent="0.2">
      <c r="L193" s="126"/>
      <c r="O193"/>
    </row>
    <row r="194" spans="12:15" x14ac:dyDescent="0.2">
      <c r="L194" s="126"/>
      <c r="O194"/>
    </row>
    <row r="195" spans="12:15" x14ac:dyDescent="0.2">
      <c r="L195" s="126"/>
      <c r="O195"/>
    </row>
    <row r="196" spans="12:15" x14ac:dyDescent="0.2">
      <c r="L196" s="126"/>
    </row>
    <row r="197" spans="12:15" x14ac:dyDescent="0.2">
      <c r="L197" s="126"/>
    </row>
    <row r="198" spans="12:15" x14ac:dyDescent="0.2">
      <c r="L198" s="126"/>
    </row>
    <row r="199" spans="12:15" x14ac:dyDescent="0.2">
      <c r="L199" s="126"/>
    </row>
    <row r="200" spans="12:15" x14ac:dyDescent="0.2">
      <c r="L200" s="126"/>
    </row>
    <row r="201" spans="12:15" x14ac:dyDescent="0.2">
      <c r="L201" s="126"/>
    </row>
    <row r="202" spans="12:15" x14ac:dyDescent="0.2">
      <c r="L202" s="126"/>
    </row>
    <row r="203" spans="12:15" x14ac:dyDescent="0.2">
      <c r="L203" s="126"/>
    </row>
    <row r="204" spans="12:15" x14ac:dyDescent="0.2">
      <c r="L204" s="126"/>
    </row>
    <row r="205" spans="12:15" x14ac:dyDescent="0.2">
      <c r="L205" s="126"/>
    </row>
    <row r="206" spans="12:15" x14ac:dyDescent="0.2">
      <c r="L206" s="126"/>
    </row>
    <row r="207" spans="12:15" x14ac:dyDescent="0.2">
      <c r="L207" s="126"/>
    </row>
    <row r="208" spans="12:15" x14ac:dyDescent="0.2">
      <c r="L208" s="126"/>
    </row>
    <row r="209" spans="12:12" x14ac:dyDescent="0.2">
      <c r="L209" s="126"/>
    </row>
    <row r="210" spans="12:12" x14ac:dyDescent="0.2">
      <c r="L210" s="126"/>
    </row>
    <row r="211" spans="12:12" x14ac:dyDescent="0.2">
      <c r="L211" s="126"/>
    </row>
    <row r="212" spans="12:12" x14ac:dyDescent="0.2">
      <c r="L212" s="126"/>
    </row>
    <row r="213" spans="12:12" x14ac:dyDescent="0.2">
      <c r="L213" s="126"/>
    </row>
    <row r="214" spans="12:12" x14ac:dyDescent="0.2">
      <c r="L214" s="126"/>
    </row>
    <row r="215" spans="12:12" x14ac:dyDescent="0.2">
      <c r="L215" s="126"/>
    </row>
    <row r="216" spans="12:12" x14ac:dyDescent="0.2">
      <c r="L216" s="126"/>
    </row>
    <row r="217" spans="12:12" x14ac:dyDescent="0.2">
      <c r="L217" s="126"/>
    </row>
    <row r="218" spans="12:12" x14ac:dyDescent="0.2">
      <c r="L218" s="126"/>
    </row>
    <row r="219" spans="12:12" x14ac:dyDescent="0.2">
      <c r="L219" s="126"/>
    </row>
    <row r="220" spans="12:12" x14ac:dyDescent="0.2">
      <c r="L220" s="126"/>
    </row>
    <row r="221" spans="12:12" x14ac:dyDescent="0.2">
      <c r="L221" s="126"/>
    </row>
    <row r="222" spans="12:12" x14ac:dyDescent="0.2">
      <c r="L222" s="126"/>
    </row>
    <row r="223" spans="12:12" x14ac:dyDescent="0.2">
      <c r="L223" s="126"/>
    </row>
    <row r="224" spans="12:12" x14ac:dyDescent="0.2">
      <c r="L224" s="126"/>
    </row>
    <row r="225" spans="12:12" x14ac:dyDescent="0.2">
      <c r="L225" s="126"/>
    </row>
    <row r="226" spans="12:12" x14ac:dyDescent="0.2">
      <c r="L226" s="126"/>
    </row>
    <row r="227" spans="12:12" x14ac:dyDescent="0.2">
      <c r="L227" s="126"/>
    </row>
    <row r="228" spans="12:12" x14ac:dyDescent="0.2">
      <c r="L228" s="126"/>
    </row>
    <row r="229" spans="12:12" x14ac:dyDescent="0.2">
      <c r="L229" s="126"/>
    </row>
    <row r="230" spans="12:12" x14ac:dyDescent="0.2">
      <c r="L230" s="126"/>
    </row>
    <row r="231" spans="12:12" x14ac:dyDescent="0.2">
      <c r="L231" s="126"/>
    </row>
    <row r="232" spans="12:12" x14ac:dyDescent="0.2">
      <c r="L232" s="126"/>
    </row>
    <row r="233" spans="12:12" x14ac:dyDescent="0.2">
      <c r="L233" s="126"/>
    </row>
    <row r="234" spans="12:12" x14ac:dyDescent="0.2">
      <c r="L234" s="126"/>
    </row>
    <row r="235" spans="12:12" x14ac:dyDescent="0.2">
      <c r="L235" s="126"/>
    </row>
    <row r="236" spans="12:12" x14ac:dyDescent="0.2">
      <c r="L236" s="126"/>
    </row>
    <row r="237" spans="12:12" x14ac:dyDescent="0.2">
      <c r="L237" s="126"/>
    </row>
    <row r="238" spans="12:12" x14ac:dyDescent="0.2">
      <c r="L238" s="126"/>
    </row>
    <row r="239" spans="12:12" x14ac:dyDescent="0.2">
      <c r="L239" s="126"/>
    </row>
    <row r="240" spans="12:12" x14ac:dyDescent="0.2">
      <c r="L240" s="126"/>
    </row>
    <row r="241" spans="12:12" x14ac:dyDescent="0.2">
      <c r="L241" s="126"/>
    </row>
    <row r="242" spans="12:12" x14ac:dyDescent="0.2">
      <c r="L242" s="126"/>
    </row>
    <row r="243" spans="12:12" x14ac:dyDescent="0.2">
      <c r="L243" s="126"/>
    </row>
    <row r="244" spans="12:12" x14ac:dyDescent="0.2">
      <c r="L244" s="126"/>
    </row>
    <row r="245" spans="12:12" x14ac:dyDescent="0.2">
      <c r="L245" s="126"/>
    </row>
    <row r="246" spans="12:12" x14ac:dyDescent="0.2">
      <c r="L246" s="126"/>
    </row>
    <row r="247" spans="12:12" x14ac:dyDescent="0.2">
      <c r="L247" s="126"/>
    </row>
    <row r="248" spans="12:12" x14ac:dyDescent="0.2">
      <c r="L248" s="126"/>
    </row>
    <row r="249" spans="12:12" x14ac:dyDescent="0.2">
      <c r="L249" s="126"/>
    </row>
    <row r="250" spans="12:12" x14ac:dyDescent="0.2">
      <c r="L250" s="126"/>
    </row>
    <row r="251" spans="12:12" x14ac:dyDescent="0.2">
      <c r="L251" s="126"/>
    </row>
    <row r="252" spans="12:12" x14ac:dyDescent="0.2">
      <c r="L252" s="126"/>
    </row>
    <row r="253" spans="12:12" x14ac:dyDescent="0.2">
      <c r="L253" s="126"/>
    </row>
    <row r="254" spans="12:12" x14ac:dyDescent="0.2">
      <c r="L254" s="126"/>
    </row>
    <row r="255" spans="12:12" x14ac:dyDescent="0.2">
      <c r="L255" s="126"/>
    </row>
    <row r="256" spans="12:12" x14ac:dyDescent="0.2">
      <c r="L256" s="126"/>
    </row>
    <row r="257" spans="12:12" x14ac:dyDescent="0.2">
      <c r="L257" s="126"/>
    </row>
    <row r="258" spans="12:12" x14ac:dyDescent="0.2">
      <c r="L258" s="126"/>
    </row>
    <row r="259" spans="12:12" x14ac:dyDescent="0.2">
      <c r="L259" s="126"/>
    </row>
    <row r="260" spans="12:12" x14ac:dyDescent="0.2">
      <c r="L260" s="126"/>
    </row>
    <row r="261" spans="12:12" x14ac:dyDescent="0.2">
      <c r="L261" s="126"/>
    </row>
    <row r="262" spans="12:12" x14ac:dyDescent="0.2">
      <c r="L262" s="126"/>
    </row>
    <row r="263" spans="12:12" x14ac:dyDescent="0.2">
      <c r="L263" s="126"/>
    </row>
    <row r="264" spans="12:12" x14ac:dyDescent="0.2">
      <c r="L264" s="126"/>
    </row>
    <row r="265" spans="12:12" x14ac:dyDescent="0.2">
      <c r="L265" s="126"/>
    </row>
    <row r="266" spans="12:12" x14ac:dyDescent="0.2">
      <c r="L266" s="126"/>
    </row>
    <row r="267" spans="12:12" x14ac:dyDescent="0.2">
      <c r="L267" s="126"/>
    </row>
    <row r="268" spans="12:12" x14ac:dyDescent="0.2">
      <c r="L268" s="126"/>
    </row>
    <row r="269" spans="12:12" x14ac:dyDescent="0.2">
      <c r="L269" s="126"/>
    </row>
    <row r="270" spans="12:12" x14ac:dyDescent="0.2">
      <c r="L270" s="126"/>
    </row>
    <row r="271" spans="12:12" x14ac:dyDescent="0.2">
      <c r="L271" s="126"/>
    </row>
    <row r="272" spans="12:12" x14ac:dyDescent="0.2">
      <c r="L272" s="126"/>
    </row>
    <row r="273" spans="12:12" x14ac:dyDescent="0.2">
      <c r="L273" s="126"/>
    </row>
    <row r="274" spans="12:12" x14ac:dyDescent="0.2">
      <c r="L274" s="126"/>
    </row>
    <row r="275" spans="12:12" x14ac:dyDescent="0.2">
      <c r="L275" s="126"/>
    </row>
    <row r="276" spans="12:12" x14ac:dyDescent="0.2">
      <c r="L276" s="126"/>
    </row>
    <row r="277" spans="12:12" x14ac:dyDescent="0.2">
      <c r="L277" s="126"/>
    </row>
    <row r="278" spans="12:12" x14ac:dyDescent="0.2">
      <c r="L278" s="126"/>
    </row>
    <row r="279" spans="12:12" x14ac:dyDescent="0.2">
      <c r="L279" s="126"/>
    </row>
    <row r="280" spans="12:12" x14ac:dyDescent="0.2">
      <c r="L280" s="126"/>
    </row>
    <row r="281" spans="12:12" x14ac:dyDescent="0.2">
      <c r="L281" s="126"/>
    </row>
    <row r="282" spans="12:12" x14ac:dyDescent="0.2">
      <c r="L282" s="126"/>
    </row>
    <row r="283" spans="12:12" x14ac:dyDescent="0.2">
      <c r="L283" s="126"/>
    </row>
    <row r="284" spans="12:12" x14ac:dyDescent="0.2">
      <c r="L284" s="126"/>
    </row>
    <row r="285" spans="12:12" x14ac:dyDescent="0.2">
      <c r="L285" s="126"/>
    </row>
    <row r="286" spans="12:12" x14ac:dyDescent="0.2">
      <c r="L286" s="126"/>
    </row>
    <row r="287" spans="12:12" x14ac:dyDescent="0.2">
      <c r="L287" s="126"/>
    </row>
    <row r="288" spans="12:12" x14ac:dyDescent="0.2">
      <c r="L288" s="126"/>
    </row>
    <row r="289" spans="12:12" x14ac:dyDescent="0.2">
      <c r="L289" s="126"/>
    </row>
    <row r="290" spans="12:12" x14ac:dyDescent="0.2">
      <c r="L290" s="126"/>
    </row>
    <row r="291" spans="12:12" x14ac:dyDescent="0.2">
      <c r="L291" s="126"/>
    </row>
    <row r="292" spans="12:12" x14ac:dyDescent="0.2">
      <c r="L292" s="126"/>
    </row>
    <row r="293" spans="12:12" x14ac:dyDescent="0.2">
      <c r="L293" s="126"/>
    </row>
    <row r="294" spans="12:12" x14ac:dyDescent="0.2">
      <c r="L294" s="126"/>
    </row>
    <row r="295" spans="12:12" x14ac:dyDescent="0.2">
      <c r="L295" s="126"/>
    </row>
    <row r="296" spans="12:12" x14ac:dyDescent="0.2">
      <c r="L296" s="126"/>
    </row>
    <row r="297" spans="12:12" x14ac:dyDescent="0.2">
      <c r="L297" s="126"/>
    </row>
    <row r="298" spans="12:12" x14ac:dyDescent="0.2">
      <c r="L298" s="126"/>
    </row>
    <row r="299" spans="12:12" x14ac:dyDescent="0.2">
      <c r="L299" s="126"/>
    </row>
    <row r="300" spans="12:12" x14ac:dyDescent="0.2">
      <c r="L300" s="126"/>
    </row>
    <row r="301" spans="12:12" x14ac:dyDescent="0.2">
      <c r="L301" s="126"/>
    </row>
    <row r="302" spans="12:12" x14ac:dyDescent="0.2">
      <c r="L302" s="126"/>
    </row>
  </sheetData>
  <mergeCells count="1">
    <mergeCell ref="N8:W9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Overview</vt:lpstr>
      <vt:lpstr>Basic Excel Review</vt:lpstr>
      <vt:lpstr>Data Validation</vt:lpstr>
      <vt:lpstr>Text Functions</vt:lpstr>
      <vt:lpstr>Goal Seek</vt:lpstr>
      <vt:lpstr>Solver</vt:lpstr>
      <vt:lpstr>Data</vt:lpstr>
      <vt:lpstr>PivotTable</vt:lpstr>
      <vt:lpstr>Data Visualization</vt:lpstr>
      <vt:lpstr>Auto</vt:lpstr>
      <vt:lpstr>Home</vt:lpstr>
      <vt:lpstr>LOBs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Officer</dc:creator>
  <cp:lastModifiedBy>Li, Richard</cp:lastModifiedBy>
  <dcterms:created xsi:type="dcterms:W3CDTF">2025-11-09T18:34:02Z</dcterms:created>
  <dcterms:modified xsi:type="dcterms:W3CDTF">2026-09-21T20:35:04Z</dcterms:modified>
</cp:coreProperties>
</file>